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ky\Desktop\Python Projects\== Charts ==\Gantt\Revision_01\"/>
    </mc:Choice>
  </mc:AlternateContent>
  <xr:revisionPtr revIDLastSave="0" documentId="13_ncr:1_{E07441C0-0775-465B-8D55-6E26151AEAE4}" xr6:coauthVersionLast="47" xr6:coauthVersionMax="47" xr10:uidLastSave="{00000000-0000-0000-0000-000000000000}"/>
  <bookViews>
    <workbookView xWindow="-110" yWindow="-110" windowWidth="25180" windowHeight="16860" firstSheet="1" activeTab="1" xr2:uid="{CED95396-0FC9-435A-A21E-9B43195E4986}"/>
  </bookViews>
  <sheets>
    <sheet name="Team" sheetId="5" state="hidden" r:id="rId1"/>
    <sheet name="Schedule" sheetId="1" r:id="rId2"/>
    <sheet name="P0004" sheetId="3" r:id="rId3"/>
    <sheet name="P0010" sheetId="4" r:id="rId4"/>
    <sheet name="PublicHolidays" sheetId="2" state="hidden" r:id="rId5"/>
  </sheets>
  <functionGroups builtInGroupCount="19"/>
  <externalReferences>
    <externalReference r:id="rId6"/>
  </externalReferences>
  <definedNames>
    <definedName name="holidays" localSheetId="0">[1]PublicHolidays!$B$2:$B$36</definedName>
    <definedName name="holidays">PublicHolidays!$B$2:$B$23</definedName>
    <definedName name="ProjectType" localSheetId="0">{"project","routine"}</definedName>
    <definedName name="ProjectType">{"project","routine"}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1" l="1" a="1"/>
  <c r="F11" i="1" s="1"/>
  <c r="J11" i="1" l="1"/>
  <c r="I11" i="1"/>
  <c r="H11" i="1"/>
  <c r="G11" i="1"/>
  <c r="F5" i="1" l="1" a="1"/>
  <c r="F5" i="1"/>
  <c r="G5" i="1"/>
  <c r="H5" i="1"/>
  <c r="I5" i="1"/>
  <c r="J5" i="1"/>
  <c r="B2" i="3" a="1"/>
  <c r="B2" i="3" s="1"/>
  <c r="E6" i="3"/>
  <c r="E5" i="3"/>
  <c r="E4" i="3"/>
  <c r="C3" i="4" a="1"/>
  <c r="C3" i="3" a="1"/>
  <c r="C3" i="4" l="1"/>
  <c r="C3" i="3"/>
  <c r="D3" i="4" a="1"/>
  <c r="D3" i="3" a="1"/>
  <c r="D3" i="4" l="1"/>
  <c r="D3" i="3"/>
  <c r="E4" i="4" l="1"/>
  <c r="G14" i="1"/>
  <c r="G13" i="1"/>
  <c r="G12" i="1"/>
  <c r="G9" i="1"/>
  <c r="G10" i="1"/>
  <c r="G7" i="1"/>
  <c r="G8" i="1"/>
  <c r="G6" i="1"/>
  <c r="G4" i="1"/>
  <c r="G3" i="1"/>
  <c r="G2" i="1"/>
  <c r="G15" i="1"/>
  <c r="C4" i="4" a="1"/>
  <c r="C4" i="3" a="1"/>
  <c r="H3" i="1" a="1"/>
  <c r="H14" i="1" a="1"/>
  <c r="H10" i="1" a="1"/>
  <c r="H15" i="1" a="1"/>
  <c r="H13" i="1" a="1"/>
  <c r="H12" i="1" a="1"/>
  <c r="H8" i="1" a="1"/>
  <c r="H4" i="1" a="1"/>
  <c r="H6" i="1" a="1"/>
  <c r="H7" i="1" a="1"/>
  <c r="H2" i="1" a="1"/>
  <c r="H9" i="1" a="1"/>
  <c r="C4" i="4" l="1"/>
  <c r="C4" i="3"/>
  <c r="H8" i="1"/>
  <c r="H14" i="1"/>
  <c r="H3" i="1"/>
  <c r="H9" i="1"/>
  <c r="H2" i="1"/>
  <c r="H6" i="1"/>
  <c r="H10" i="1"/>
  <c r="H12" i="1"/>
  <c r="H13" i="1"/>
  <c r="H7" i="1"/>
  <c r="H4" i="1"/>
  <c r="H15" i="1"/>
  <c r="D4" i="4" a="1"/>
  <c r="D4" i="3" a="1"/>
  <c r="D4" i="4" l="1"/>
  <c r="D4" i="3"/>
  <c r="C5" i="3" a="1"/>
  <c r="E5" i="4" l="1"/>
  <c r="C5" i="3"/>
  <c r="C5" i="4" a="1"/>
  <c r="D5" i="3" a="1"/>
  <c r="C5" i="4" l="1"/>
  <c r="D5" i="3"/>
  <c r="E2" i="3" s="1"/>
  <c r="D5" i="4" a="1"/>
  <c r="C6" i="3" a="1"/>
  <c r="C2" i="3" a="1"/>
  <c r="D5" i="4" l="1"/>
  <c r="C6" i="3"/>
  <c r="C2" i="3"/>
  <c r="D6" i="3" a="1"/>
  <c r="E6" i="4" l="1"/>
  <c r="D6" i="3"/>
  <c r="C6" i="4" a="1"/>
  <c r="C6" i="4" l="1"/>
  <c r="E2" i="4"/>
  <c r="D2" i="3"/>
  <c r="F2" i="3" s="1" a="1"/>
  <c r="F2" i="3" s="1"/>
  <c r="C2" i="4" a="1"/>
  <c r="D6" i="4" a="1"/>
  <c r="D6" i="4" l="1"/>
  <c r="C2" i="4"/>
  <c r="B2" i="4" l="1" a="1"/>
  <c r="B2" i="4" s="1"/>
  <c r="D2" i="4"/>
  <c r="F2" i="4" s="1" a="1"/>
  <c r="F2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<sst xmlns="http://schemas.openxmlformats.org/spreadsheetml/2006/main" count="141" uniqueCount="111">
  <si>
    <t>type</t>
  </si>
  <si>
    <t>task</t>
  </si>
  <si>
    <t>start</t>
  </si>
  <si>
    <t>end</t>
  </si>
  <si>
    <t>completion</t>
  </si>
  <si>
    <t>start_date</t>
  </si>
  <si>
    <t>Task A</t>
  </si>
  <si>
    <t>description</t>
  </si>
  <si>
    <t>Project</t>
  </si>
  <si>
    <t>Holiday</t>
  </si>
  <si>
    <t>Date</t>
  </si>
  <si>
    <t>New Year's Day</t>
  </si>
  <si>
    <t>New Year's Day Holiday</t>
  </si>
  <si>
    <t>Makha Bucha Day</t>
  </si>
  <si>
    <t>Chakri Memorial Day</t>
  </si>
  <si>
    <t>Songkran</t>
  </si>
  <si>
    <t>Songkran Holiday</t>
  </si>
  <si>
    <t>Coronation Day</t>
  </si>
  <si>
    <t>Royal Ploughing Ceremony</t>
  </si>
  <si>
    <t>Visakha Bucha</t>
  </si>
  <si>
    <t>Queen Suthida's Birthday</t>
  </si>
  <si>
    <t>Asalha Puja</t>
  </si>
  <si>
    <t>Buddhist Lent Day</t>
  </si>
  <si>
    <t>King Vajiralongkorn's Birthday</t>
  </si>
  <si>
    <t>The Queen Mother's Birthday</t>
  </si>
  <si>
    <t>King Chulalongkorn Day</t>
  </si>
  <si>
    <t>King Chulalongkorn Day Holiday</t>
  </si>
  <si>
    <t>King Bhumibol's Birthday</t>
  </si>
  <si>
    <t>Constitution Day</t>
  </si>
  <si>
    <t>Constitution Day Holiday</t>
  </si>
  <si>
    <t>New Year's Eve</t>
  </si>
  <si>
    <t>King Bhumibol Adulyadej Memorial Day</t>
  </si>
  <si>
    <t>days</t>
  </si>
  <si>
    <t>deliverables</t>
  </si>
  <si>
    <t>Task M</t>
  </si>
  <si>
    <t>Task N</t>
  </si>
  <si>
    <t>Task L</t>
  </si>
  <si>
    <t>Task K</t>
  </si>
  <si>
    <t>Task J</t>
  </si>
  <si>
    <t>Task H</t>
  </si>
  <si>
    <t>Task I</t>
  </si>
  <si>
    <t>Task G</t>
  </si>
  <si>
    <t>Task F</t>
  </si>
  <si>
    <t>Task E</t>
  </si>
  <si>
    <t>Task D</t>
  </si>
  <si>
    <t>Task C</t>
  </si>
  <si>
    <t>Task B</t>
  </si>
  <si>
    <t>member1</t>
  </si>
  <si>
    <t>member2</t>
  </si>
  <si>
    <t>member3</t>
  </si>
  <si>
    <t>ref_id</t>
  </si>
  <si>
    <t>P0001</t>
  </si>
  <si>
    <t>P0002</t>
  </si>
  <si>
    <t>P0003</t>
  </si>
  <si>
    <t>P0004</t>
  </si>
  <si>
    <t>P0005</t>
  </si>
  <si>
    <t>Overall</t>
  </si>
  <si>
    <t>firstname</t>
  </si>
  <si>
    <t>surname</t>
  </si>
  <si>
    <t>nickname</t>
  </si>
  <si>
    <t>P0006</t>
  </si>
  <si>
    <t>P0007</t>
  </si>
  <si>
    <t>P0008</t>
  </si>
  <si>
    <t>P0009</t>
  </si>
  <si>
    <t>P0010</t>
  </si>
  <si>
    <t>P0011</t>
  </si>
  <si>
    <t>P0012</t>
  </si>
  <si>
    <t>P0013</t>
  </si>
  <si>
    <t>P0014</t>
  </si>
  <si>
    <t>Description 1</t>
  </si>
  <si>
    <t>Deliverable 1</t>
  </si>
  <si>
    <t>Description 2</t>
  </si>
  <si>
    <t>Deliverable 2</t>
  </si>
  <si>
    <t>Description 3</t>
  </si>
  <si>
    <t>Deliverable 3</t>
  </si>
  <si>
    <t>Description 4</t>
  </si>
  <si>
    <t>Deliverable 4</t>
  </si>
  <si>
    <t>Description 5</t>
  </si>
  <si>
    <t>Deliverable 5</t>
  </si>
  <si>
    <t>Description 6</t>
  </si>
  <si>
    <t>Deliverable 6</t>
  </si>
  <si>
    <t>Description 7</t>
  </si>
  <si>
    <t>Deliverable 7</t>
  </si>
  <si>
    <t>Description 8</t>
  </si>
  <si>
    <t>Deliverable 8</t>
  </si>
  <si>
    <t>Description 9</t>
  </si>
  <si>
    <t>Deliverable 9</t>
  </si>
  <si>
    <t>Description 10</t>
  </si>
  <si>
    <t>Deliverable 10</t>
  </si>
  <si>
    <t>Description 11</t>
  </si>
  <si>
    <t>Deliverable 11</t>
  </si>
  <si>
    <t>Description 12</t>
  </si>
  <si>
    <t>Deliverable 12</t>
  </si>
  <si>
    <t>Description 13</t>
  </si>
  <si>
    <t>Deliverable 13</t>
  </si>
  <si>
    <t>Description 14</t>
  </si>
  <si>
    <t>Deliverable 14</t>
  </si>
  <si>
    <t>Firstname1</t>
  </si>
  <si>
    <t>Surname1</t>
  </si>
  <si>
    <t>Firstname2</t>
  </si>
  <si>
    <t>Surname2</t>
  </si>
  <si>
    <t>Firstname3</t>
  </si>
  <si>
    <t>Surname3</t>
  </si>
  <si>
    <t>Task P004.1</t>
  </si>
  <si>
    <t>Task P004.2</t>
  </si>
  <si>
    <t>Task P004.3</t>
  </si>
  <si>
    <t>Task P004.4</t>
  </si>
  <si>
    <t>Task P010.1</t>
  </si>
  <si>
    <t>Task P010.2</t>
  </si>
  <si>
    <t>Task P010.3</t>
  </si>
  <si>
    <t>Task P010.4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</si>
</sst>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b/>
      <sz val="11"/>
      <color rgb="FF444444"/>
      <name val="Tahoma"/>
      <family val="2"/>
    </font>
    <font>
      <sz val="11"/>
      <color rgb="FF444444"/>
      <name val="Tahoma"/>
      <family val="2"/>
    </font>
    <font>
      <sz val="8"/>
      <name val="Calibri"/>
      <family val="2"/>
      <scheme val="minor"/>
    </font>
    <font>
      <sz val="11"/>
      <color rgb="FFC00000"/>
      <name val="Tahoma"/>
      <family val="2"/>
    </font>
    <font>
      <u/>
      <sz val="11"/>
      <color theme="10"/>
      <name val="Calibri"/>
      <family val="2"/>
      <scheme val="minor"/>
    </font>
    <font>
      <b/>
      <sz val="10"/>
      <color theme="0"/>
      <name val="Tahoma"/>
      <family val="2"/>
    </font>
    <font>
      <sz val="10"/>
      <color theme="0"/>
      <name val="Tahoma"/>
      <family val="2"/>
    </font>
    <font>
      <sz val="10"/>
      <color theme="1"/>
      <name val="Tahoma"/>
      <family val="2"/>
    </font>
    <font>
      <sz val="10"/>
      <color rgb="FFC00000"/>
      <name val="Tahoma"/>
      <family val="2"/>
    </font>
    <font>
      <b/>
      <sz val="11"/>
      <color theme="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8FFD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2" fillId="0" borderId="1" xfId="0" applyFont="1" applyBorder="1"/>
    <xf numFmtId="14" fontId="4" fillId="5" borderId="1" xfId="0" applyNumberFormat="1" applyFont="1" applyFill="1" applyBorder="1" applyAlignment="1">
      <alignment horizontal="center" vertical="center" wrapText="1"/>
    </xf>
    <xf numFmtId="14" fontId="4" fillId="3" borderId="1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8" fillId="6" borderId="1" xfId="0" applyFont="1" applyFill="1" applyBorder="1" applyAlignment="1">
      <alignment horizontal="center" vertical="center"/>
    </xf>
    <xf numFmtId="49" fontId="8" fillId="7" borderId="1" xfId="0" applyNumberFormat="1" applyFont="1" applyFill="1" applyBorder="1" applyAlignment="1">
      <alignment horizontal="center" vertical="center" wrapText="1"/>
    </xf>
    <xf numFmtId="9" fontId="9" fillId="7" borderId="1" xfId="2" applyFont="1" applyFill="1" applyBorder="1" applyAlignment="1">
      <alignment horizontal="right" vertical="center"/>
    </xf>
    <xf numFmtId="14" fontId="9" fillId="7" borderId="1" xfId="0" quotePrefix="1" applyNumberFormat="1" applyFont="1" applyFill="1" applyBorder="1" applyAlignment="1">
      <alignment vertical="center"/>
    </xf>
    <xf numFmtId="14" fontId="9" fillId="7" borderId="1" xfId="0" applyNumberFormat="1" applyFont="1" applyFill="1" applyBorder="1" applyAlignment="1">
      <alignment vertical="center"/>
    </xf>
    <xf numFmtId="164" fontId="9" fillId="7" borderId="1" xfId="4" applyNumberFormat="1" applyFont="1" applyFill="1" applyBorder="1" applyAlignment="1">
      <alignment vertical="center"/>
    </xf>
    <xf numFmtId="49" fontId="10" fillId="0" borderId="1" xfId="0" applyNumberFormat="1" applyFont="1" applyBorder="1" applyAlignment="1">
      <alignment vertical="top" wrapText="1"/>
    </xf>
    <xf numFmtId="9" fontId="10" fillId="0" borderId="1" xfId="2" applyFont="1" applyFill="1" applyBorder="1" applyAlignment="1">
      <alignment horizontal="right" vertical="center"/>
    </xf>
    <xf numFmtId="14" fontId="11" fillId="0" borderId="1" xfId="0" applyNumberFormat="1" applyFont="1" applyBorder="1" applyAlignment="1">
      <alignment vertical="center"/>
    </xf>
    <xf numFmtId="14" fontId="10" fillId="0" borderId="1" xfId="0" applyNumberFormat="1" applyFont="1" applyBorder="1" applyAlignment="1">
      <alignment vertical="center"/>
    </xf>
    <xf numFmtId="164" fontId="10" fillId="0" borderId="1" xfId="4" applyNumberFormat="1" applyFont="1" applyFill="1" applyBorder="1" applyAlignment="1">
      <alignment vertical="center"/>
    </xf>
    <xf numFmtId="164" fontId="10" fillId="0" borderId="1" xfId="4" applyNumberFormat="1" applyFont="1" applyBorder="1" applyAlignment="1">
      <alignment vertical="center"/>
    </xf>
    <xf numFmtId="0" fontId="2" fillId="0" borderId="1" xfId="0" applyFont="1" applyBorder="1" applyAlignment="1">
      <alignment vertical="center"/>
    </xf>
    <xf numFmtId="9" fontId="2" fillId="0" borderId="1" xfId="2" applyFont="1" applyFill="1" applyBorder="1" applyAlignment="1">
      <alignment horizontal="right" vertical="center"/>
    </xf>
    <xf numFmtId="14" fontId="6" fillId="0" borderId="1" xfId="0" quotePrefix="1" applyNumberFormat="1" applyFont="1" applyBorder="1" applyAlignment="1">
      <alignment vertical="center"/>
    </xf>
    <xf numFmtId="14" fontId="6" fillId="0" borderId="1" xfId="0" applyNumberFormat="1" applyFont="1" applyBorder="1" applyAlignment="1">
      <alignment vertical="center"/>
    </xf>
    <xf numFmtId="14" fontId="2" fillId="0" borderId="1" xfId="0" applyNumberFormat="1" applyFont="1" applyBorder="1" applyAlignment="1">
      <alignment vertical="center"/>
    </xf>
    <xf numFmtId="164" fontId="2" fillId="0" borderId="1" xfId="1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9" fontId="2" fillId="2" borderId="1" xfId="2" applyFont="1" applyFill="1" applyBorder="1" applyAlignment="1">
      <alignment horizontal="right" vertical="center"/>
    </xf>
    <xf numFmtId="14" fontId="6" fillId="2" borderId="1" xfId="0" quotePrefix="1" applyNumberFormat="1" applyFont="1" applyFill="1" applyBorder="1" applyAlignment="1">
      <alignment vertical="center"/>
    </xf>
    <xf numFmtId="14" fontId="6" fillId="2" borderId="1" xfId="0" applyNumberFormat="1" applyFont="1" applyFill="1" applyBorder="1" applyAlignment="1">
      <alignment vertical="center"/>
    </xf>
    <xf numFmtId="14" fontId="2" fillId="2" borderId="1" xfId="0" applyNumberFormat="1" applyFont="1" applyFill="1" applyBorder="1" applyAlignment="1">
      <alignment vertical="center"/>
    </xf>
    <xf numFmtId="164" fontId="2" fillId="2" borderId="1" xfId="1" applyNumberFormat="1" applyFont="1" applyFill="1" applyBorder="1" applyAlignment="1">
      <alignment vertical="center"/>
    </xf>
    <xf numFmtId="0" fontId="12" fillId="6" borderId="1" xfId="0" applyFont="1" applyFill="1" applyBorder="1" applyAlignment="1">
      <alignment horizontal="center" vertical="center"/>
    </xf>
    <xf numFmtId="0" fontId="7" fillId="0" borderId="1" xfId="3" applyBorder="1" applyAlignment="1">
      <alignment vertical="center"/>
    </xf>
  </cellXfs>
  <cellStyles count="5">
    <cellStyle name="Comma" xfId="1" builtinId="3"/>
    <cellStyle name="Comma 2" xfId="4" xr:uid="{07066CA4-8B3C-4803-AF2E-D57E7620ABC9}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Work%20Schedule_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"/>
      <sheetName val="Schedule"/>
      <sheetName val="P0011"/>
      <sheetName val="P0012"/>
      <sheetName val="P0013"/>
      <sheetName val="P0016"/>
      <sheetName val="P0017"/>
      <sheetName val="P0018"/>
      <sheetName val="P0019"/>
      <sheetName val="P0020"/>
      <sheetName val="P0022"/>
      <sheetName val="P0023"/>
      <sheetName val="P0024"/>
      <sheetName val="P0025"/>
      <sheetName val="P0026"/>
      <sheetName val="P0027"/>
      <sheetName val="P0028"/>
      <sheetName val="P0029"/>
      <sheetName val="P0030"/>
      <sheetName val="P0031"/>
      <sheetName val="P0032"/>
      <sheetName val="P0033"/>
      <sheetName val="P0034"/>
      <sheetName val="P0035"/>
      <sheetName val="P0036"/>
      <sheetName val="P0037"/>
      <sheetName val="P0038"/>
      <sheetName val="P0039"/>
      <sheetName val="P0040"/>
      <sheetName val="P0041"/>
      <sheetName val="P0042"/>
      <sheetName val="P0043"/>
      <sheetName val="P0044"/>
      <sheetName val="P0045"/>
      <sheetName val="P0046"/>
      <sheetName val="P0047"/>
      <sheetName val="P0048"/>
      <sheetName val="P0049"/>
      <sheetName val="P0050"/>
      <sheetName val="P0052"/>
      <sheetName val="P0053"/>
      <sheetName val="P0054"/>
      <sheetName val="P0055"/>
      <sheetName val="P0056"/>
      <sheetName val="P0057"/>
      <sheetName val="P0058"/>
      <sheetName val="P0059"/>
      <sheetName val="P0060"/>
      <sheetName val="P0061"/>
      <sheetName val="P0062"/>
      <sheetName val="P0063"/>
      <sheetName val="P0064"/>
      <sheetName val="P0051"/>
      <sheetName val="PublicHoliday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>
        <row r="2">
          <cell r="B2">
            <v>44564</v>
          </cell>
        </row>
        <row r="3">
          <cell r="B3">
            <v>44608</v>
          </cell>
        </row>
        <row r="4">
          <cell r="B4">
            <v>44657</v>
          </cell>
        </row>
        <row r="5">
          <cell r="B5">
            <v>44664</v>
          </cell>
        </row>
        <row r="6">
          <cell r="B6">
            <v>44665</v>
          </cell>
        </row>
        <row r="7">
          <cell r="B7">
            <v>44666</v>
          </cell>
        </row>
        <row r="8">
          <cell r="B8">
            <v>44683</v>
          </cell>
        </row>
        <row r="9">
          <cell r="B9">
            <v>44685</v>
          </cell>
        </row>
        <row r="10">
          <cell r="B10">
            <v>44697</v>
          </cell>
        </row>
        <row r="11">
          <cell r="B11">
            <v>44715</v>
          </cell>
        </row>
        <row r="12">
          <cell r="B12">
            <v>44755</v>
          </cell>
        </row>
        <row r="13">
          <cell r="B13">
            <v>44770</v>
          </cell>
        </row>
        <row r="14">
          <cell r="B14">
            <v>44771</v>
          </cell>
        </row>
        <row r="15">
          <cell r="B15">
            <v>44785</v>
          </cell>
        </row>
        <row r="16">
          <cell r="B16">
            <v>44841</v>
          </cell>
        </row>
        <row r="17">
          <cell r="B17">
            <v>44847</v>
          </cell>
        </row>
        <row r="18">
          <cell r="B18">
            <v>44848</v>
          </cell>
        </row>
        <row r="19">
          <cell r="B19">
            <v>44858</v>
          </cell>
        </row>
        <row r="20">
          <cell r="B20">
            <v>44900</v>
          </cell>
        </row>
        <row r="21">
          <cell r="B21">
            <v>44907</v>
          </cell>
        </row>
        <row r="22">
          <cell r="B22">
            <v>44928</v>
          </cell>
        </row>
        <row r="23">
          <cell r="B23">
            <v>44991</v>
          </cell>
        </row>
        <row r="24">
          <cell r="B24">
            <v>45022</v>
          </cell>
        </row>
        <row r="25">
          <cell r="B25">
            <v>45029</v>
          </cell>
        </row>
        <row r="26">
          <cell r="B26">
            <v>45030</v>
          </cell>
        </row>
        <row r="27">
          <cell r="B27">
            <v>45047</v>
          </cell>
        </row>
        <row r="28">
          <cell r="B28">
            <v>45050</v>
          </cell>
        </row>
        <row r="29">
          <cell r="B29">
            <v>45082</v>
          </cell>
        </row>
        <row r="30">
          <cell r="B30">
            <v>45135</v>
          </cell>
        </row>
        <row r="31">
          <cell r="B31">
            <v>45139</v>
          </cell>
        </row>
        <row r="32">
          <cell r="B32">
            <v>45152</v>
          </cell>
        </row>
        <row r="33">
          <cell r="B33">
            <v>45212</v>
          </cell>
        </row>
        <row r="34">
          <cell r="B34">
            <v>45222</v>
          </cell>
        </row>
        <row r="35">
          <cell r="B35">
            <v>45265</v>
          </cell>
        </row>
        <row r="36">
          <cell r="B36">
            <v>45271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EE72C-EFF3-4166-95A6-6E73C84098C8}">
  <sheetPr codeName="Sheet5"/>
  <dimension ref="A1:C4"/>
  <sheetViews>
    <sheetView showGridLines="0" workbookViewId="0">
      <selection activeCell="D11" sqref="D11"/>
    </sheetView>
  </sheetViews>
  <sheetFormatPr defaultRowHeight="14.5" x14ac:dyDescent="0.35"/>
  <cols>
    <col min="1" max="3" width="15" customWidth="1"/>
  </cols>
  <sheetData>
    <row r="1" spans="1:3" x14ac:dyDescent="0.35">
      <c r="A1" s="7" t="s">
        <v>57</v>
      </c>
      <c r="B1" s="7" t="s">
        <v>58</v>
      </c>
      <c r="C1" s="7" t="s">
        <v>59</v>
      </c>
    </row>
    <row r="2" spans="1:3" x14ac:dyDescent="0.35">
      <c r="A2" s="21" t="s">
        <v>97</v>
      </c>
      <c r="B2" s="21" t="s">
        <v>98</v>
      </c>
      <c r="C2" s="21" t="s">
        <v>47</v>
      </c>
    </row>
    <row r="3" spans="1:3" x14ac:dyDescent="0.35">
      <c r="A3" s="21" t="s">
        <v>99</v>
      </c>
      <c r="B3" s="21" t="s">
        <v>100</v>
      </c>
      <c r="C3" s="21" t="s">
        <v>48</v>
      </c>
    </row>
    <row r="4" spans="1:3" x14ac:dyDescent="0.35">
      <c r="A4" s="21" t="s">
        <v>101</v>
      </c>
      <c r="B4" s="21" t="s">
        <v>102</v>
      </c>
      <c r="C4" s="21" t="s">
        <v>49</v>
      </c>
    </row>
  </sheetData>
  <phoneticPr fontId="5" type="noConversion"/>
  <pageMargins left="0.7" right="0.7" top="0.75" bottom="0.75" header="0.3" footer="0.3"/>
  <headerFooter>
    <oddFooter>&amp;R_x000D_&amp;1#&amp;"Calibri"&amp;9&amp;K000000 Internal Use Only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09849-AA19-4D1F-B13D-7F4BE99A62BF}">
  <sheetPr codeName="Sheet1"/>
  <dimension ref="A1:M15"/>
  <sheetViews>
    <sheetView showGridLines="0" tabSelected="1" workbookViewId="0">
      <selection activeCell="G35" sqref="G35"/>
    </sheetView>
  </sheetViews>
  <sheetFormatPr defaultRowHeight="14" x14ac:dyDescent="0.35"/>
  <cols>
    <col min="1" max="3" width="8.7265625" style="8" customWidth="1"/>
    <col min="4" max="4" width="13.54296875" style="8" bestFit="1" customWidth="1"/>
    <col min="5" max="5" width="13.6328125" style="8" bestFit="1" customWidth="1"/>
    <col min="6" max="10" width="8.7265625" style="8" customWidth="1"/>
    <col min="11" max="13" width="10.6328125" style="8" bestFit="1" customWidth="1"/>
    <col min="14" max="16384" width="8.7265625" style="8"/>
  </cols>
  <sheetData>
    <row r="1" spans="1:13" ht="20" customHeight="1" x14ac:dyDescent="0.35">
      <c r="A1" s="33" t="s">
        <v>0</v>
      </c>
      <c r="B1" s="33" t="s">
        <v>50</v>
      </c>
      <c r="C1" s="33" t="s">
        <v>1</v>
      </c>
      <c r="D1" s="33" t="s">
        <v>7</v>
      </c>
      <c r="E1" s="33" t="s">
        <v>33</v>
      </c>
      <c r="F1" s="33" t="s">
        <v>4</v>
      </c>
      <c r="G1" s="33" t="s">
        <v>2</v>
      </c>
      <c r="H1" s="33" t="s">
        <v>3</v>
      </c>
      <c r="I1" s="33" t="s">
        <v>5</v>
      </c>
      <c r="J1" s="33" t="s">
        <v>32</v>
      </c>
      <c r="K1" s="33" t="s">
        <v>47</v>
      </c>
      <c r="L1" s="33" t="s">
        <v>48</v>
      </c>
      <c r="M1" s="33" t="s">
        <v>49</v>
      </c>
    </row>
    <row r="2" spans="1:13" ht="20" customHeight="1" x14ac:dyDescent="0.35">
      <c r="A2" s="27" t="s">
        <v>8</v>
      </c>
      <c r="B2" s="27" t="s">
        <v>51</v>
      </c>
      <c r="C2" s="27" t="s">
        <v>6</v>
      </c>
      <c r="D2" s="27" t="s">
        <v>69</v>
      </c>
      <c r="E2" s="27" t="s">
        <v>70</v>
      </c>
      <c r="F2" s="28">
        <v>1</v>
      </c>
      <c r="G2" s="29">
        <f>I2</f>
        <v>44607</v>
      </c>
      <c r="H2" s="30" cm="1">
        <f t="array" ref="H2">get_finish_date(G2,holidays,J2)</f>
        <v>44614</v>
      </c>
      <c r="I2" s="31">
        <v>44607</v>
      </c>
      <c r="J2" s="32">
        <v>4</v>
      </c>
      <c r="K2" s="27">
        <v>1</v>
      </c>
      <c r="L2" s="27">
        <v>0</v>
      </c>
      <c r="M2" s="27">
        <v>1</v>
      </c>
    </row>
    <row r="3" spans="1:13" ht="20" customHeight="1" x14ac:dyDescent="0.35">
      <c r="A3" s="21" t="s">
        <v>8</v>
      </c>
      <c r="B3" s="21" t="s">
        <v>52</v>
      </c>
      <c r="C3" s="21" t="s">
        <v>46</v>
      </c>
      <c r="D3" s="21" t="s">
        <v>71</v>
      </c>
      <c r="E3" s="21" t="s">
        <v>72</v>
      </c>
      <c r="F3" s="22">
        <v>1</v>
      </c>
      <c r="G3" s="23">
        <f>I3</f>
        <v>44610</v>
      </c>
      <c r="H3" s="24" cm="1">
        <f t="array" ref="H3">get_finish_date(G3,holidays,J3)</f>
        <v>44615</v>
      </c>
      <c r="I3" s="25">
        <v>44610</v>
      </c>
      <c r="J3" s="26">
        <v>3</v>
      </c>
      <c r="K3" s="21">
        <v>0</v>
      </c>
      <c r="L3" s="21">
        <v>0</v>
      </c>
      <c r="M3" s="21">
        <v>1</v>
      </c>
    </row>
    <row r="4" spans="1:13" ht="20" customHeight="1" x14ac:dyDescent="0.35">
      <c r="A4" s="27" t="s">
        <v>8</v>
      </c>
      <c r="B4" s="27" t="s">
        <v>53</v>
      </c>
      <c r="C4" s="27" t="s">
        <v>45</v>
      </c>
      <c r="D4" s="27" t="s">
        <v>73</v>
      </c>
      <c r="E4" s="27" t="s">
        <v>74</v>
      </c>
      <c r="F4" s="28">
        <v>0.6</v>
      </c>
      <c r="G4" s="29">
        <f>I4</f>
        <v>44613</v>
      </c>
      <c r="H4" s="30" cm="1">
        <f t="array" ref="H4">get_finish_date(G4,holidays,J4)</f>
        <v>44623</v>
      </c>
      <c r="I4" s="31">
        <v>44613</v>
      </c>
      <c r="J4" s="32">
        <v>8</v>
      </c>
      <c r="K4" s="27">
        <v>1</v>
      </c>
      <c r="L4" s="27">
        <v>1</v>
      </c>
      <c r="M4" s="27">
        <v>0</v>
      </c>
    </row>
    <row r="5" spans="1:13" ht="20" customHeight="1" x14ac:dyDescent="0.35">
      <c r="A5" s="21" t="s">
        <v>8</v>
      </c>
      <c r="B5" s="34" t="s">
        <v>54</v>
      </c>
      <c r="C5" s="21" t="s">
        <v>43</v>
      </c>
      <c r="D5" s="21" t="s">
        <v>75</v>
      </c>
      <c r="E5" s="21" t="s">
        <v>76</v>
      </c>
      <c r="F5" s="22">
        <f t="array" ref="F5:J5">'P0004'!B2:F2</f>
        <v>0.20823529411764707</v>
      </c>
      <c r="G5" s="23">
        <v>44614</v>
      </c>
      <c r="H5" s="24">
        <v>44629</v>
      </c>
      <c r="I5" s="25">
        <v>44614</v>
      </c>
      <c r="J5" s="26">
        <v>11</v>
      </c>
      <c r="K5" s="21">
        <v>1</v>
      </c>
      <c r="L5" s="21">
        <v>1</v>
      </c>
      <c r="M5" s="21">
        <v>0</v>
      </c>
    </row>
    <row r="6" spans="1:13" ht="20" customHeight="1" x14ac:dyDescent="0.35">
      <c r="A6" s="27" t="s">
        <v>8</v>
      </c>
      <c r="B6" s="27" t="s">
        <v>55</v>
      </c>
      <c r="C6" s="27" t="s">
        <v>44</v>
      </c>
      <c r="D6" s="27" t="s">
        <v>77</v>
      </c>
      <c r="E6" s="27" t="s">
        <v>78</v>
      </c>
      <c r="F6" s="28">
        <v>1</v>
      </c>
      <c r="G6" s="29">
        <f>I6</f>
        <v>44614</v>
      </c>
      <c r="H6" s="30" cm="1">
        <f t="array" ref="H6">get_finish_date(G6,holidays,J6)</f>
        <v>44621</v>
      </c>
      <c r="I6" s="31">
        <v>44614</v>
      </c>
      <c r="J6" s="32">
        <v>5</v>
      </c>
      <c r="K6" s="27">
        <v>1</v>
      </c>
      <c r="L6" s="27">
        <v>1</v>
      </c>
      <c r="M6" s="27">
        <v>0</v>
      </c>
    </row>
    <row r="7" spans="1:13" ht="20" customHeight="1" x14ac:dyDescent="0.35">
      <c r="A7" s="21" t="s">
        <v>8</v>
      </c>
      <c r="B7" s="21" t="s">
        <v>60</v>
      </c>
      <c r="C7" s="21" t="s">
        <v>41</v>
      </c>
      <c r="D7" s="21" t="s">
        <v>79</v>
      </c>
      <c r="E7" s="21" t="s">
        <v>80</v>
      </c>
      <c r="F7" s="22">
        <v>0.7</v>
      </c>
      <c r="G7" s="23">
        <f>I7</f>
        <v>44617</v>
      </c>
      <c r="H7" s="24" cm="1">
        <f t="array" ref="H7">get_finish_date(G7,holidays,J7)</f>
        <v>44623</v>
      </c>
      <c r="I7" s="25">
        <v>44617</v>
      </c>
      <c r="J7" s="26">
        <v>4</v>
      </c>
      <c r="K7" s="21">
        <v>0</v>
      </c>
      <c r="L7" s="21">
        <v>1</v>
      </c>
      <c r="M7" s="21">
        <v>0</v>
      </c>
    </row>
    <row r="8" spans="1:13" ht="20" customHeight="1" x14ac:dyDescent="0.35">
      <c r="A8" s="27" t="s">
        <v>8</v>
      </c>
      <c r="B8" s="27" t="s">
        <v>61</v>
      </c>
      <c r="C8" s="27" t="s">
        <v>42</v>
      </c>
      <c r="D8" s="27" t="s">
        <v>81</v>
      </c>
      <c r="E8" s="27" t="s">
        <v>82</v>
      </c>
      <c r="F8" s="28">
        <v>1</v>
      </c>
      <c r="G8" s="29">
        <f>I8</f>
        <v>44617</v>
      </c>
      <c r="H8" s="30" cm="1">
        <f t="array" ref="H8">get_finish_date(G8,holidays,J8)</f>
        <v>44621</v>
      </c>
      <c r="I8" s="31">
        <v>44617</v>
      </c>
      <c r="J8" s="32">
        <v>2</v>
      </c>
      <c r="K8" s="27">
        <v>0</v>
      </c>
      <c r="L8" s="27">
        <v>1</v>
      </c>
      <c r="M8" s="27">
        <v>1</v>
      </c>
    </row>
    <row r="9" spans="1:13" ht="20" customHeight="1" x14ac:dyDescent="0.35">
      <c r="A9" s="21" t="s">
        <v>8</v>
      </c>
      <c r="B9" s="21" t="s">
        <v>62</v>
      </c>
      <c r="C9" s="21" t="s">
        <v>39</v>
      </c>
      <c r="D9" s="21" t="s">
        <v>83</v>
      </c>
      <c r="E9" s="21" t="s">
        <v>84</v>
      </c>
      <c r="F9" s="22">
        <v>1</v>
      </c>
      <c r="G9" s="23">
        <f>I9</f>
        <v>44620</v>
      </c>
      <c r="H9" s="24" cm="1">
        <f t="array" ref="H9">get_finish_date(G9,holidays,J9)</f>
        <v>44622</v>
      </c>
      <c r="I9" s="25">
        <v>44620</v>
      </c>
      <c r="J9" s="26">
        <v>2</v>
      </c>
      <c r="K9" s="21">
        <v>0</v>
      </c>
      <c r="L9" s="21">
        <v>1</v>
      </c>
      <c r="M9" s="21">
        <v>0</v>
      </c>
    </row>
    <row r="10" spans="1:13" ht="20" customHeight="1" x14ac:dyDescent="0.35">
      <c r="A10" s="27" t="s">
        <v>8</v>
      </c>
      <c r="B10" s="27" t="s">
        <v>63</v>
      </c>
      <c r="C10" s="27" t="s">
        <v>40</v>
      </c>
      <c r="D10" s="27" t="s">
        <v>85</v>
      </c>
      <c r="E10" s="27" t="s">
        <v>86</v>
      </c>
      <c r="F10" s="28">
        <v>0.4</v>
      </c>
      <c r="G10" s="29">
        <f>I10</f>
        <v>44620</v>
      </c>
      <c r="H10" s="30" cm="1">
        <f t="array" ref="H10">get_finish_date(G10,holidays,J10)</f>
        <v>44625</v>
      </c>
      <c r="I10" s="31">
        <v>44620</v>
      </c>
      <c r="J10" s="32">
        <v>5</v>
      </c>
      <c r="K10" s="27">
        <v>1</v>
      </c>
      <c r="L10" s="27">
        <v>0</v>
      </c>
      <c r="M10" s="27">
        <v>1</v>
      </c>
    </row>
    <row r="11" spans="1:13" ht="20" customHeight="1" x14ac:dyDescent="0.35">
      <c r="A11" s="21" t="s">
        <v>8</v>
      </c>
      <c r="B11" s="21" t="s">
        <v>64</v>
      </c>
      <c r="C11" s="21" t="s">
        <v>38</v>
      </c>
      <c r="D11" s="21" t="s">
        <v>87</v>
      </c>
      <c r="E11" s="21" t="s">
        <v>88</v>
      </c>
      <c r="F11" s="22">
        <f t="array" ref="F11:J11">'P0010'!B2:F2</f>
        <v>0.22461538461538463</v>
      </c>
      <c r="G11" s="23">
        <v>44624</v>
      </c>
      <c r="H11" s="24">
        <v>44637</v>
      </c>
      <c r="I11" s="25">
        <v>44624</v>
      </c>
      <c r="J11" s="26">
        <v>9</v>
      </c>
      <c r="K11" s="21">
        <v>1</v>
      </c>
      <c r="L11" s="21">
        <v>0</v>
      </c>
      <c r="M11" s="21">
        <v>0</v>
      </c>
    </row>
    <row r="12" spans="1:13" ht="20" customHeight="1" x14ac:dyDescent="0.35">
      <c r="A12" s="27" t="s">
        <v>8</v>
      </c>
      <c r="B12" s="27" t="s">
        <v>65</v>
      </c>
      <c r="C12" s="27" t="s">
        <v>37</v>
      </c>
      <c r="D12" s="27" t="s">
        <v>89</v>
      </c>
      <c r="E12" s="27" t="s">
        <v>90</v>
      </c>
      <c r="F12" s="28">
        <v>0</v>
      </c>
      <c r="G12" s="29">
        <f>I12</f>
        <v>44629</v>
      </c>
      <c r="H12" s="30" cm="1">
        <f t="array" ref="H12">get_finish_date(G12,holidays,J12)</f>
        <v>44635</v>
      </c>
      <c r="I12" s="31">
        <v>44629</v>
      </c>
      <c r="J12" s="32">
        <v>4</v>
      </c>
      <c r="K12" s="27">
        <v>1</v>
      </c>
      <c r="L12" s="27">
        <v>0</v>
      </c>
      <c r="M12" s="27">
        <v>0</v>
      </c>
    </row>
    <row r="13" spans="1:13" ht="20" customHeight="1" x14ac:dyDescent="0.35">
      <c r="A13" s="21" t="s">
        <v>8</v>
      </c>
      <c r="B13" s="21" t="s">
        <v>66</v>
      </c>
      <c r="C13" s="21" t="s">
        <v>36</v>
      </c>
      <c r="D13" s="21" t="s">
        <v>91</v>
      </c>
      <c r="E13" s="21" t="s">
        <v>92</v>
      </c>
      <c r="F13" s="22">
        <v>0</v>
      </c>
      <c r="G13" s="23">
        <f>I13</f>
        <v>44630</v>
      </c>
      <c r="H13" s="24" cm="1">
        <f t="array" ref="H13">get_finish_date(G13,holidays,J13)</f>
        <v>44635</v>
      </c>
      <c r="I13" s="25">
        <v>44630</v>
      </c>
      <c r="J13" s="26">
        <v>3</v>
      </c>
      <c r="K13" s="21">
        <v>0</v>
      </c>
      <c r="L13" s="21">
        <v>1</v>
      </c>
      <c r="M13" s="21">
        <v>0</v>
      </c>
    </row>
    <row r="14" spans="1:13" ht="20" customHeight="1" x14ac:dyDescent="0.35">
      <c r="A14" s="27" t="s">
        <v>8</v>
      </c>
      <c r="B14" s="27" t="s">
        <v>67</v>
      </c>
      <c r="C14" s="27" t="s">
        <v>34</v>
      </c>
      <c r="D14" s="27" t="s">
        <v>93</v>
      </c>
      <c r="E14" s="27" t="s">
        <v>94</v>
      </c>
      <c r="F14" s="28">
        <v>0</v>
      </c>
      <c r="G14" s="29">
        <f>I14</f>
        <v>44636</v>
      </c>
      <c r="H14" s="30" cm="1">
        <f t="array" ref="H14">get_finish_date(G14,holidays,J14)</f>
        <v>44639</v>
      </c>
      <c r="I14" s="31">
        <v>44636</v>
      </c>
      <c r="J14" s="32">
        <v>3</v>
      </c>
      <c r="K14" s="27">
        <v>1</v>
      </c>
      <c r="L14" s="27">
        <v>1</v>
      </c>
      <c r="M14" s="27">
        <v>1</v>
      </c>
    </row>
    <row r="15" spans="1:13" ht="20" customHeight="1" x14ac:dyDescent="0.35">
      <c r="A15" s="21" t="s">
        <v>8</v>
      </c>
      <c r="B15" s="21" t="s">
        <v>68</v>
      </c>
      <c r="C15" s="21" t="s">
        <v>35</v>
      </c>
      <c r="D15" s="21" t="s">
        <v>95</v>
      </c>
      <c r="E15" s="21" t="s">
        <v>96</v>
      </c>
      <c r="F15" s="22">
        <v>0</v>
      </c>
      <c r="G15" s="23">
        <f>I15</f>
        <v>44637</v>
      </c>
      <c r="H15" s="24" cm="1">
        <f t="array" ref="H15">get_finish_date(G15,holidays,J15)</f>
        <v>44639</v>
      </c>
      <c r="I15" s="25">
        <v>44637</v>
      </c>
      <c r="J15" s="26">
        <v>2</v>
      </c>
      <c r="K15" s="21">
        <v>0</v>
      </c>
      <c r="L15" s="21">
        <v>0</v>
      </c>
      <c r="M15" s="21">
        <v>1</v>
      </c>
    </row>
  </sheetData>
  <sortState xmlns:xlrd2="http://schemas.microsoft.com/office/spreadsheetml/2017/richdata2" ref="A2:M15">
    <sortCondition ref="G2:G15"/>
  </sortState>
  <phoneticPr fontId="5" type="noConversion"/>
  <dataValidations count="3">
    <dataValidation type="decimal" allowBlank="1" showInputMessage="1" showErrorMessage="1" prompt="Actual project completion (%)" sqref="F2:F15" xr:uid="{085CE6DB-2CB7-428B-9B26-21DBD24B960C}">
      <formula1>0</formula1>
      <formula2>1</formula2>
    </dataValidation>
    <dataValidation type="whole" allowBlank="1" showInputMessage="1" showErrorMessage="1" prompt="Number of working days" sqref="J2:J15" xr:uid="{033E5306-C9B7-4C64-8CC7-AE3941FD029D}">
      <formula1>0</formula1>
      <formula2>1000</formula2>
    </dataValidation>
    <dataValidation type="date" allowBlank="1" showInputMessage="1" showErrorMessage="1" sqref="G2:I15" xr:uid="{0420F134-2358-4B01-AC32-5BA0091DF343}">
      <formula1>44562</formula1>
      <formula2>219148</formula2>
    </dataValidation>
  </dataValidations>
  <hyperlinks>
    <hyperlink ref="B5" location="'P0004'!A1" display="P0004" xr:uid="{75ACA811-8C55-4E47-A53A-CCDA564B0D60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9727B-7DF5-47DD-BAC9-449C95FE8871}">
  <sheetPr codeName="Sheet3"/>
  <dimension ref="A1:F6"/>
  <sheetViews>
    <sheetView workbookViewId="0">
      <selection activeCell="F1" sqref="A1:F1048576"/>
    </sheetView>
  </sheetViews>
  <sheetFormatPr defaultRowHeight="14.5" x14ac:dyDescent="0.35"/>
  <cols>
    <col min="1" max="1" width="25.6328125" customWidth="1"/>
    <col min="2" max="2" width="11.6328125" customWidth="1"/>
    <col min="5" max="5" width="11.6328125" customWidth="1"/>
  </cols>
  <sheetData>
    <row r="1" spans="1:6" ht="20" customHeight="1" x14ac:dyDescent="0.35">
      <c r="A1" s="9" t="s">
        <v>1</v>
      </c>
      <c r="B1" s="9" t="s">
        <v>4</v>
      </c>
      <c r="C1" s="9" t="s">
        <v>2</v>
      </c>
      <c r="D1" s="9" t="s">
        <v>3</v>
      </c>
      <c r="E1" s="9" t="s">
        <v>5</v>
      </c>
      <c r="F1" s="9" t="s">
        <v>32</v>
      </c>
    </row>
    <row r="2" spans="1:6" ht="20" customHeight="1" x14ac:dyDescent="0.35">
      <c r="A2" s="10" t="s">
        <v>56</v>
      </c>
      <c r="B2" s="11" cm="1">
        <f t="array" ref="B2">MIN(MMULT(TRANSPOSE(B3:B6),D3:D6-C3:C6)/SUM(D3:D6-C3:C6),1)</f>
        <v>0.20823529411764707</v>
      </c>
      <c r="C2" s="12" cm="1">
        <f t="array" ref="C2">get_start_date(E2,holidays)</f>
        <v>44614</v>
      </c>
      <c r="D2" s="13">
        <f>MAX(D3:D6)</f>
        <v>44629</v>
      </c>
      <c r="E2" s="13">
        <f>MIN(E3:E6)</f>
        <v>44614</v>
      </c>
      <c r="F2" s="14" cm="1">
        <f t="array" ref="F2">SUM(IF(WEEKDAY(_xlfn.SEQUENCE(D2-C2,1,C2,1),2)&lt;6,1,0))-SUM(IF(ISERROR(MATCH(_xlfn.SEQUENCE(D2-C2,1,C2,1),holidays,0)&gt;0)=FALSE,1,0))</f>
        <v>11</v>
      </c>
    </row>
    <row r="3" spans="1:6" ht="20" customHeight="1" x14ac:dyDescent="0.35">
      <c r="A3" s="15" t="s">
        <v>103</v>
      </c>
      <c r="B3" s="16">
        <v>0.3</v>
      </c>
      <c r="C3" s="17" cm="1">
        <f t="array" ref="C3">get_start_date(E3,holidays)</f>
        <v>44614</v>
      </c>
      <c r="D3" s="17" cm="1">
        <f t="array" ref="D3">get_finish_date(C3,holidays,F3)</f>
        <v>44617</v>
      </c>
      <c r="E3" s="18">
        <v>44614</v>
      </c>
      <c r="F3" s="19">
        <v>3</v>
      </c>
    </row>
    <row r="4" spans="1:6" ht="20" customHeight="1" x14ac:dyDescent="0.35">
      <c r="A4" s="15" t="s">
        <v>104</v>
      </c>
      <c r="B4" s="16">
        <v>0.33</v>
      </c>
      <c r="C4" s="17" cm="1">
        <f t="array" ref="C4">get_start_date(E4,holidays)</f>
        <v>44616</v>
      </c>
      <c r="D4" s="17" cm="1">
        <f t="array" ref="D4">get_finish_date(C4,holidays,F4)</f>
        <v>44624</v>
      </c>
      <c r="E4" s="18">
        <f>D3-1</f>
        <v>44616</v>
      </c>
      <c r="F4" s="20">
        <v>6</v>
      </c>
    </row>
    <row r="5" spans="1:6" ht="20" customHeight="1" x14ac:dyDescent="0.35">
      <c r="A5" s="15" t="s">
        <v>105</v>
      </c>
      <c r="B5" s="16">
        <v>0</v>
      </c>
      <c r="C5" s="17" cm="1">
        <f t="array" ref="C5">get_start_date(E5,holidays)</f>
        <v>44624</v>
      </c>
      <c r="D5" s="17" cm="1">
        <f t="array" ref="D5">get_finish_date(C5,holidays,F5)</f>
        <v>44628</v>
      </c>
      <c r="E5" s="18">
        <f>D4</f>
        <v>44624</v>
      </c>
      <c r="F5" s="20">
        <v>2</v>
      </c>
    </row>
    <row r="6" spans="1:6" ht="20" customHeight="1" x14ac:dyDescent="0.35">
      <c r="A6" s="15" t="s">
        <v>106</v>
      </c>
      <c r="B6" s="16">
        <v>0</v>
      </c>
      <c r="C6" s="17" cm="1">
        <f t="array" ref="C6">get_start_date(E6,holidays)</f>
        <v>44627</v>
      </c>
      <c r="D6" s="17" cm="1">
        <f t="array" ref="D6">get_finish_date(C6,holidays,F6)</f>
        <v>44629</v>
      </c>
      <c r="E6" s="18">
        <f>D5-1</f>
        <v>44627</v>
      </c>
      <c r="F6" s="19">
        <v>2</v>
      </c>
    </row>
  </sheetData>
  <phoneticPr fontId="5" type="noConversion"/>
  <dataValidations count="3">
    <dataValidation type="decimal" allowBlank="1" showInputMessage="1" showErrorMessage="1" prompt="Actual project completion (%)" sqref="B2:B6" xr:uid="{08079D37-C8CE-493A-94B6-4D0FD967843D}">
      <formula1>0</formula1>
      <formula2>1</formula2>
    </dataValidation>
    <dataValidation type="date" allowBlank="1" showInputMessage="1" showErrorMessage="1" sqref="C2:E6" xr:uid="{9AAEC28A-8434-4DFA-B926-3592B09553CD}">
      <formula1>44562</formula1>
      <formula2>219148</formula2>
    </dataValidation>
    <dataValidation type="whole" allowBlank="1" showInputMessage="1" showErrorMessage="1" prompt="Number of working days" sqref="F2:F6" xr:uid="{DC081936-8C04-4CE3-9522-220ED85F28DE}">
      <formula1>0</formula1>
      <formula2>1000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C4B23-5423-47B7-AAB9-AAB355BAAE51}">
  <sheetPr codeName="Sheet4"/>
  <dimension ref="A1:F6"/>
  <sheetViews>
    <sheetView workbookViewId="0">
      <selection activeCell="C20" sqref="C20"/>
    </sheetView>
  </sheetViews>
  <sheetFormatPr defaultRowHeight="14.5" x14ac:dyDescent="0.35"/>
  <cols>
    <col min="1" max="1" width="25.6328125" customWidth="1"/>
    <col min="2" max="2" width="11.6328125" customWidth="1"/>
    <col min="5" max="5" width="11.6328125" customWidth="1"/>
  </cols>
  <sheetData>
    <row r="1" spans="1:6" x14ac:dyDescent="0.35">
      <c r="A1" s="9" t="s">
        <v>1</v>
      </c>
      <c r="B1" s="9" t="s">
        <v>4</v>
      </c>
      <c r="C1" s="9" t="s">
        <v>2</v>
      </c>
      <c r="D1" s="9" t="s">
        <v>3</v>
      </c>
      <c r="E1" s="9" t="s">
        <v>5</v>
      </c>
      <c r="F1" s="9" t="s">
        <v>32</v>
      </c>
    </row>
    <row r="2" spans="1:6" x14ac:dyDescent="0.35">
      <c r="A2" s="10" t="s">
        <v>56</v>
      </c>
      <c r="B2" s="11" cm="1">
        <f t="array" ref="B2">MIN(MMULT(TRANSPOSE(B3:B6),D3:D6-C3:C6)/SUM(D3:D6-C3:C6),1)</f>
        <v>0.22461538461538463</v>
      </c>
      <c r="C2" s="12" cm="1">
        <f t="array" ref="C2">get_start_date(E2,holidays)</f>
        <v>44624</v>
      </c>
      <c r="D2" s="13">
        <f>MAX(D3:D6)</f>
        <v>44637</v>
      </c>
      <c r="E2" s="13">
        <f>MIN(E3:E6)</f>
        <v>44624</v>
      </c>
      <c r="F2" s="14" cm="1">
        <f t="array" ref="F2">SUM(IF(WEEKDAY(_xlfn.SEQUENCE(D2-C2,1,C2,1),2)&lt;6,1,0))-SUM(IF(ISERROR(MATCH(_xlfn.SEQUENCE(D2-C2,1,C2,1),holidays,0)&gt;0)=FALSE,1,0))</f>
        <v>9</v>
      </c>
    </row>
    <row r="3" spans="1:6" x14ac:dyDescent="0.35">
      <c r="A3" s="15" t="s">
        <v>107</v>
      </c>
      <c r="B3" s="16">
        <v>0.3</v>
      </c>
      <c r="C3" s="17" cm="1">
        <f t="array" ref="C3">get_start_date(E3,holidays)</f>
        <v>44624</v>
      </c>
      <c r="D3" s="17" cm="1">
        <f t="array" ref="D3">get_finish_date(C3,holidays,F3)</f>
        <v>44629</v>
      </c>
      <c r="E3" s="18">
        <v>44624</v>
      </c>
      <c r="F3" s="19">
        <v>3</v>
      </c>
    </row>
    <row r="4" spans="1:6" x14ac:dyDescent="0.35">
      <c r="A4" s="15" t="s">
        <v>108</v>
      </c>
      <c r="B4" s="16">
        <v>0.33</v>
      </c>
      <c r="C4" s="17" cm="1">
        <f t="array" ref="C4">get_start_date(E4,holidays)</f>
        <v>44628</v>
      </c>
      <c r="D4" s="17" cm="1">
        <f t="array" ref="D4">get_finish_date(C4,holidays,F4)</f>
        <v>44632</v>
      </c>
      <c r="E4" s="18">
        <f>D3-1</f>
        <v>44628</v>
      </c>
      <c r="F4" s="20">
        <v>4</v>
      </c>
    </row>
    <row r="5" spans="1:6" x14ac:dyDescent="0.35">
      <c r="A5" s="15" t="s">
        <v>109</v>
      </c>
      <c r="B5" s="16">
        <v>0.05</v>
      </c>
      <c r="C5" s="17" cm="1">
        <f t="array" ref="C5">get_start_date(E5,holidays)</f>
        <v>44634</v>
      </c>
      <c r="D5" s="17" cm="1">
        <f t="array" ref="D5">get_finish_date(C5,holidays,F5)</f>
        <v>44636</v>
      </c>
      <c r="E5" s="18">
        <f>D4</f>
        <v>44632</v>
      </c>
      <c r="F5" s="20">
        <v>2</v>
      </c>
    </row>
    <row r="6" spans="1:6" x14ac:dyDescent="0.35">
      <c r="A6" s="15" t="s">
        <v>110</v>
      </c>
      <c r="B6" s="16">
        <v>0</v>
      </c>
      <c r="C6" s="17" cm="1">
        <f t="array" ref="C6">get_start_date(E6,holidays)</f>
        <v>44635</v>
      </c>
      <c r="D6" s="17" cm="1">
        <f t="array" ref="D6">get_finish_date(C6,holidays,F6)</f>
        <v>44637</v>
      </c>
      <c r="E6" s="18">
        <f>D5-1</f>
        <v>44635</v>
      </c>
      <c r="F6" s="19">
        <v>2</v>
      </c>
    </row>
  </sheetData>
  <phoneticPr fontId="5" type="noConversion"/>
  <dataValidations count="3">
    <dataValidation type="decimal" allowBlank="1" showInputMessage="1" showErrorMessage="1" prompt="Actual project completion (%)" sqref="B2:B6" xr:uid="{E7A946D2-D6DA-405F-AF43-925271E0C1BD}">
      <formula1>0</formula1>
      <formula2>1</formula2>
    </dataValidation>
    <dataValidation type="date" allowBlank="1" showInputMessage="1" showErrorMessage="1" sqref="C2:E6" xr:uid="{5CA37241-6E1A-4508-8280-017331A19B45}">
      <formula1>44562</formula1>
      <formula2>219148</formula2>
    </dataValidation>
    <dataValidation type="whole" allowBlank="1" showInputMessage="1" showErrorMessage="1" prompt="Number of working days" sqref="F2:F6" xr:uid="{AFD52487-4C77-4058-81C4-8AFF68C363AC}">
      <formula1>0</formula1>
      <formula2>1000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2D108-E9B5-4AFD-B456-C610414D07DC}">
  <sheetPr codeName="Sheet2"/>
  <dimension ref="A1:B23"/>
  <sheetViews>
    <sheetView showGridLines="0" workbookViewId="0">
      <selection activeCell="F19" sqref="F19"/>
    </sheetView>
  </sheetViews>
  <sheetFormatPr defaultRowHeight="14" x14ac:dyDescent="0.3"/>
  <cols>
    <col min="1" max="1" width="8.7265625" style="1" customWidth="1"/>
    <col min="2" max="16384" width="8.7265625" style="1"/>
  </cols>
  <sheetData>
    <row r="1" spans="1:2" ht="20" customHeight="1" x14ac:dyDescent="0.3">
      <c r="A1" s="7" t="s">
        <v>9</v>
      </c>
      <c r="B1" s="7" t="s">
        <v>10</v>
      </c>
    </row>
    <row r="2" spans="1:2" ht="20" customHeight="1" x14ac:dyDescent="0.3">
      <c r="A2" s="2" t="s">
        <v>11</v>
      </c>
      <c r="B2" s="3">
        <v>44562</v>
      </c>
    </row>
    <row r="3" spans="1:2" ht="20" customHeight="1" x14ac:dyDescent="0.3">
      <c r="A3" s="2" t="s">
        <v>12</v>
      </c>
      <c r="B3" s="4">
        <v>44564</v>
      </c>
    </row>
    <row r="4" spans="1:2" ht="20" customHeight="1" x14ac:dyDescent="0.3">
      <c r="A4" s="2" t="s">
        <v>13</v>
      </c>
      <c r="B4" s="3">
        <v>44608</v>
      </c>
    </row>
    <row r="5" spans="1:2" ht="20" customHeight="1" x14ac:dyDescent="0.3">
      <c r="A5" s="2" t="s">
        <v>14</v>
      </c>
      <c r="B5" s="4">
        <v>44657</v>
      </c>
    </row>
    <row r="6" spans="1:2" ht="20" customHeight="1" x14ac:dyDescent="0.3">
      <c r="A6" s="2" t="s">
        <v>15</v>
      </c>
      <c r="B6" s="3">
        <v>44664</v>
      </c>
    </row>
    <row r="7" spans="1:2" ht="20" customHeight="1" x14ac:dyDescent="0.3">
      <c r="A7" s="5" t="s">
        <v>16</v>
      </c>
      <c r="B7" s="4">
        <v>44665</v>
      </c>
    </row>
    <row r="8" spans="1:2" ht="20" customHeight="1" x14ac:dyDescent="0.3">
      <c r="A8" s="6" t="s">
        <v>16</v>
      </c>
      <c r="B8" s="3">
        <v>44666</v>
      </c>
    </row>
    <row r="9" spans="1:2" ht="20" customHeight="1" x14ac:dyDescent="0.3">
      <c r="A9" s="2" t="s">
        <v>17</v>
      </c>
      <c r="B9" s="4">
        <v>44685</v>
      </c>
    </row>
    <row r="10" spans="1:2" ht="20" customHeight="1" x14ac:dyDescent="0.3">
      <c r="A10" s="2" t="s">
        <v>18</v>
      </c>
      <c r="B10" s="3">
        <v>44694</v>
      </c>
    </row>
    <row r="11" spans="1:2" ht="20" customHeight="1" x14ac:dyDescent="0.3">
      <c r="A11" s="2" t="s">
        <v>19</v>
      </c>
      <c r="B11" s="4">
        <v>44697</v>
      </c>
    </row>
    <row r="12" spans="1:2" ht="20" customHeight="1" x14ac:dyDescent="0.3">
      <c r="A12" s="2" t="s">
        <v>20</v>
      </c>
      <c r="B12" s="3">
        <v>44715</v>
      </c>
    </row>
    <row r="13" spans="1:2" ht="20" customHeight="1" x14ac:dyDescent="0.3">
      <c r="A13" s="2" t="s">
        <v>21</v>
      </c>
      <c r="B13" s="4">
        <v>44755</v>
      </c>
    </row>
    <row r="14" spans="1:2" ht="20" customHeight="1" x14ac:dyDescent="0.3">
      <c r="A14" s="2" t="s">
        <v>22</v>
      </c>
      <c r="B14" s="3">
        <v>44756</v>
      </c>
    </row>
    <row r="15" spans="1:2" ht="20" customHeight="1" x14ac:dyDescent="0.3">
      <c r="A15" s="2" t="s">
        <v>23</v>
      </c>
      <c r="B15" s="4">
        <v>44770</v>
      </c>
    </row>
    <row r="16" spans="1:2" ht="20" customHeight="1" x14ac:dyDescent="0.3">
      <c r="A16" s="2" t="s">
        <v>24</v>
      </c>
      <c r="B16" s="3">
        <v>44785</v>
      </c>
    </row>
    <row r="17" spans="1:2" ht="20" customHeight="1" x14ac:dyDescent="0.3">
      <c r="A17" s="2" t="s">
        <v>31</v>
      </c>
      <c r="B17" s="4">
        <v>44847</v>
      </c>
    </row>
    <row r="18" spans="1:2" ht="20" customHeight="1" x14ac:dyDescent="0.3">
      <c r="A18" s="2" t="s">
        <v>25</v>
      </c>
      <c r="B18" s="3">
        <v>44857</v>
      </c>
    </row>
    <row r="19" spans="1:2" ht="20" customHeight="1" x14ac:dyDescent="0.3">
      <c r="A19" s="2" t="s">
        <v>26</v>
      </c>
      <c r="B19" s="4">
        <v>44858</v>
      </c>
    </row>
    <row r="20" spans="1:2" ht="20" customHeight="1" x14ac:dyDescent="0.3">
      <c r="A20" s="2" t="s">
        <v>27</v>
      </c>
      <c r="B20" s="3">
        <v>44900</v>
      </c>
    </row>
    <row r="21" spans="1:2" ht="20" customHeight="1" x14ac:dyDescent="0.3">
      <c r="A21" s="2" t="s">
        <v>28</v>
      </c>
      <c r="B21" s="4">
        <v>44905</v>
      </c>
    </row>
    <row r="22" spans="1:2" ht="20" customHeight="1" x14ac:dyDescent="0.3">
      <c r="A22" s="2" t="s">
        <v>29</v>
      </c>
      <c r="B22" s="3">
        <v>44846</v>
      </c>
    </row>
    <row r="23" spans="1:2" ht="20" customHeight="1" x14ac:dyDescent="0.3">
      <c r="A23" s="5" t="s">
        <v>30</v>
      </c>
      <c r="B23" s="4">
        <v>44926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Team</vt:lpstr>
      <vt:lpstr>Schedule</vt:lpstr>
      <vt:lpstr>P0004</vt:lpstr>
      <vt:lpstr>P0010</vt:lpstr>
      <vt:lpstr>PublicHolidays</vt:lpstr>
      <vt:lpstr>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Micky</dc:creator>
  <cp:lastModifiedBy>Micky</cp:lastModifiedBy>
  <dcterms:created xsi:type="dcterms:W3CDTF">2022-04-21T09:10:47Z</dcterms:created>
  <dcterms:modified xsi:type="dcterms:W3CDTF">2023-06-05T12:36:30Z</dcterms:modified>
</cp:coreProperties>
</file>