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ky\Desktop\Python Projects\== Charts ==\Gantt\"/>
    </mc:Choice>
  </mc:AlternateContent>
  <xr:revisionPtr revIDLastSave="0" documentId="13_ncr:1_{90E3C887-7B68-4DAD-B6CD-A4130F39303D}" xr6:coauthVersionLast="47" xr6:coauthVersionMax="47" xr10:uidLastSave="{00000000-0000-0000-0000-000000000000}"/>
  <bookViews>
    <workbookView xWindow="-110" yWindow="-110" windowWidth="25180" windowHeight="16860" xr2:uid="{CED95396-0FC9-435A-A21E-9B43195E4986}"/>
  </bookViews>
  <sheets>
    <sheet name="Schedule" sheetId="1" r:id="rId1"/>
    <sheet name="PublicHolidays" sheetId="2" r:id="rId2"/>
  </sheets>
  <functionGroups builtInGroupCount="19"/>
  <definedNames>
    <definedName name="holidays">PublicHolidays!$B$2:$B$23</definedName>
    <definedName name="ProjectType">{"project","routine"}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2" i="1"/>
  <c r="G9" i="1" a="1"/>
  <c r="G10" i="1" a="1"/>
  <c r="G7" i="1" a="1"/>
  <c r="G4" i="1" a="1"/>
  <c r="G2" i="1" a="1"/>
  <c r="G17" i="1" a="1"/>
  <c r="G14" i="1" a="1"/>
  <c r="G3" i="1" a="1"/>
  <c r="G11" i="1" a="1"/>
  <c r="G16" i="1" a="1"/>
  <c r="G15" i="1" a="1"/>
  <c r="G8" i="1" a="1"/>
  <c r="G5" i="1" a="1"/>
  <c r="G13" i="1" a="1"/>
  <c r="G12" i="1" a="1"/>
  <c r="G6" i="1" a="1"/>
  <c r="G16" i="1" l="1"/>
  <c r="G4" i="1"/>
  <c r="G11" i="1"/>
  <c r="G7" i="1"/>
  <c r="G3" i="1"/>
  <c r="G14" i="1"/>
  <c r="G10" i="1"/>
  <c r="G6" i="1"/>
  <c r="G12" i="1"/>
  <c r="G13" i="1"/>
  <c r="G5" i="1"/>
  <c r="G8" i="1"/>
  <c r="G15" i="1"/>
  <c r="G17" i="1"/>
  <c r="G9" i="1"/>
  <c r="G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<sst xmlns="http://schemas.openxmlformats.org/spreadsheetml/2006/main" count="100" uniqueCount="56">
  <si>
    <t>type</t>
  </si>
  <si>
    <t>task</t>
  </si>
  <si>
    <t>start</t>
  </si>
  <si>
    <t>end</t>
  </si>
  <si>
    <t>completion</t>
  </si>
  <si>
    <t>start_date</t>
  </si>
  <si>
    <t>Task A</t>
  </si>
  <si>
    <t>description</t>
  </si>
  <si>
    <t>Project</t>
  </si>
  <si>
    <t>Holiday</t>
  </si>
  <si>
    <t>Date</t>
  </si>
  <si>
    <t>New Year's Day</t>
  </si>
  <si>
    <t>New Year's Day Holiday</t>
  </si>
  <si>
    <t>Makha Bucha Day</t>
  </si>
  <si>
    <t>Chakri Memorial Day</t>
  </si>
  <si>
    <t>Songkran</t>
  </si>
  <si>
    <t>Songkran Holiday</t>
  </si>
  <si>
    <t>Coronation Day</t>
  </si>
  <si>
    <t>Royal Ploughing Ceremony</t>
  </si>
  <si>
    <t>Visakha Bucha</t>
  </si>
  <si>
    <t>Queen Suthida's Birthday</t>
  </si>
  <si>
    <t>Asalha Puja</t>
  </si>
  <si>
    <t>Buddhist Lent Day</t>
  </si>
  <si>
    <t>King Vajiralongkorn's Birthday</t>
  </si>
  <si>
    <t>The Queen Mother's Birthday</t>
  </si>
  <si>
    <t>King Chulalongkorn Day</t>
  </si>
  <si>
    <t>King Chulalongkorn Day Holiday</t>
  </si>
  <si>
    <t>King Bhumibol's Birthday</t>
  </si>
  <si>
    <t>Constitution Day</t>
  </si>
  <si>
    <t>Constitution Day Holiday</t>
  </si>
  <si>
    <t>New Year's Eve</t>
  </si>
  <si>
    <t>King Bhumibol Adulyadej Memorial Day</t>
  </si>
  <si>
    <t>days</t>
  </si>
  <si>
    <t>deliverables</t>
  </si>
  <si>
    <t>Task M</t>
  </si>
  <si>
    <t>Task N</t>
  </si>
  <si>
    <t>Task L</t>
  </si>
  <si>
    <t>Task K</t>
  </si>
  <si>
    <t>Task J</t>
  </si>
  <si>
    <t>Task H</t>
  </si>
  <si>
    <t>Task I</t>
  </si>
  <si>
    <t>Task G</t>
  </si>
  <si>
    <t>Task F</t>
  </si>
  <si>
    <t>Task E</t>
  </si>
  <si>
    <t>Task D</t>
  </si>
  <si>
    <t>Task C</t>
  </si>
  <si>
    <t>Task B</t>
  </si>
  <si>
    <t>Event (1)</t>
  </si>
  <si>
    <t>Event (2)</t>
  </si>
  <si>
    <t>aaa</t>
  </si>
  <si>
    <t>bbb</t>
  </si>
  <si>
    <t>member1</t>
  </si>
  <si>
    <t>member2</t>
  </si>
  <si>
    <t>member3</t>
  </si>
  <si>
    <t>Routine</t>
  </si>
  <si>
    <t>Meeting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</si>
</sst>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ahoma"/>
      <family val="2"/>
    </font>
    <font>
      <b/>
      <sz val="11"/>
      <color rgb="FF444444"/>
      <name val="Tahoma"/>
      <family val="2"/>
    </font>
    <font>
      <sz val="11"/>
      <color rgb="FF444444"/>
      <name val="Tahoma"/>
      <family val="2"/>
    </font>
    <font>
      <sz val="8"/>
      <name val="Calibri"/>
      <family val="2"/>
      <scheme val="minor"/>
    </font>
    <font>
      <b/>
      <sz val="11"/>
      <color theme="1"/>
      <name val="Tahoma"/>
      <family val="2"/>
    </font>
    <font>
      <sz val="11"/>
      <color rgb="FFC00000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8FFD8"/>
        <bgColor indexed="64"/>
      </patternFill>
    </fill>
    <fill>
      <patternFill patternType="solid">
        <fgColor rgb="FFF9F9F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2">
    <xf numFmtId="0" fontId="0" fillId="0" borderId="0" xfId="0"/>
    <xf numFmtId="0" fontId="2" fillId="0" borderId="0" xfId="0" applyFont="1"/>
    <xf numFmtId="0" fontId="2" fillId="0" borderId="1" xfId="0" applyFont="1" applyFill="1" applyBorder="1"/>
    <xf numFmtId="14" fontId="4" fillId="5" borderId="1" xfId="0" applyNumberFormat="1" applyFont="1" applyFill="1" applyBorder="1" applyAlignment="1">
      <alignment horizontal="center" vertical="center" wrapText="1"/>
    </xf>
    <xf numFmtId="14" fontId="4" fillId="3" borderId="1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9" fontId="2" fillId="0" borderId="0" xfId="2" applyFont="1" applyFill="1" applyAlignment="1">
      <alignment horizontal="right" vertical="center"/>
    </xf>
    <xf numFmtId="14" fontId="2" fillId="0" borderId="0" xfId="0" applyNumberFormat="1" applyFont="1" applyFill="1" applyAlignment="1">
      <alignment vertical="center"/>
    </xf>
    <xf numFmtId="164" fontId="2" fillId="0" borderId="0" xfId="1" applyNumberFormat="1" applyFont="1" applyFill="1" applyAlignment="1">
      <alignment vertical="center"/>
    </xf>
    <xf numFmtId="0" fontId="2" fillId="2" borderId="0" xfId="0" applyFont="1" applyFill="1" applyAlignment="1">
      <alignment vertical="center"/>
    </xf>
    <xf numFmtId="9" fontId="2" fillId="2" borderId="0" xfId="2" applyFont="1" applyFill="1" applyAlignment="1">
      <alignment horizontal="right" vertical="center"/>
    </xf>
    <xf numFmtId="14" fontId="2" fillId="2" borderId="0" xfId="0" applyNumberFormat="1" applyFont="1" applyFill="1" applyAlignment="1">
      <alignment vertical="center"/>
    </xf>
    <xf numFmtId="164" fontId="2" fillId="2" borderId="0" xfId="1" applyNumberFormat="1" applyFont="1" applyFill="1" applyAlignment="1">
      <alignment vertical="center"/>
    </xf>
    <xf numFmtId="0" fontId="6" fillId="0" borderId="2" xfId="0" applyFont="1" applyFill="1" applyBorder="1" applyAlignment="1">
      <alignment horizontal="center" vertical="center"/>
    </xf>
    <xf numFmtId="14" fontId="7" fillId="0" borderId="0" xfId="0" quotePrefix="1" applyNumberFormat="1" applyFont="1" applyFill="1" applyAlignment="1">
      <alignment vertical="center"/>
    </xf>
    <xf numFmtId="14" fontId="7" fillId="0" borderId="0" xfId="0" applyNumberFormat="1" applyFont="1" applyFill="1" applyAlignment="1">
      <alignment vertical="center"/>
    </xf>
    <xf numFmtId="14" fontId="7" fillId="2" borderId="0" xfId="0" quotePrefix="1" applyNumberFormat="1" applyFont="1" applyFill="1" applyAlignment="1">
      <alignment vertical="center"/>
    </xf>
    <xf numFmtId="14" fontId="7" fillId="2" borderId="0" xfId="0" applyNumberFormat="1" applyFont="1" applyFill="1" applyAlignment="1">
      <alignment vertic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09849-AA19-4D1F-B13D-7F4BE99A62BF}">
  <sheetPr codeName="Sheet1"/>
  <dimension ref="A1:M17"/>
  <sheetViews>
    <sheetView showGridLines="0" tabSelected="1" workbookViewId="0">
      <selection activeCell="B13" sqref="B13"/>
    </sheetView>
  </sheetViews>
  <sheetFormatPr defaultRowHeight="14" x14ac:dyDescent="0.35"/>
  <cols>
    <col min="1" max="1" width="10.6328125" style="9" customWidth="1"/>
    <col min="2" max="4" width="20.6328125" style="9" customWidth="1"/>
    <col min="5" max="9" width="10.6328125" style="9" customWidth="1"/>
    <col min="10" max="16384" width="8.7265625" style="9"/>
  </cols>
  <sheetData>
    <row r="1" spans="1:13" ht="20" customHeight="1" thickBot="1" x14ac:dyDescent="0.4">
      <c r="A1" s="17" t="s">
        <v>0</v>
      </c>
      <c r="B1" s="17" t="s">
        <v>1</v>
      </c>
      <c r="C1" s="17" t="s">
        <v>7</v>
      </c>
      <c r="D1" s="17" t="s">
        <v>33</v>
      </c>
      <c r="E1" s="17" t="s">
        <v>4</v>
      </c>
      <c r="F1" s="17" t="s">
        <v>2</v>
      </c>
      <c r="G1" s="17" t="s">
        <v>3</v>
      </c>
      <c r="H1" s="17" t="s">
        <v>5</v>
      </c>
      <c r="I1" s="17" t="s">
        <v>32</v>
      </c>
      <c r="J1" s="17" t="s">
        <v>51</v>
      </c>
      <c r="K1" s="17" t="s">
        <v>52</v>
      </c>
      <c r="L1" s="17" t="s">
        <v>53</v>
      </c>
      <c r="M1" s="8"/>
    </row>
    <row r="2" spans="1:13" ht="20" customHeight="1" x14ac:dyDescent="0.35">
      <c r="A2" s="8" t="s">
        <v>8</v>
      </c>
      <c r="B2" s="8" t="s">
        <v>34</v>
      </c>
      <c r="C2" s="8" t="s">
        <v>49</v>
      </c>
      <c r="D2" s="8" t="s">
        <v>50</v>
      </c>
      <c r="E2" s="10">
        <v>0</v>
      </c>
      <c r="F2" s="18">
        <f>H2</f>
        <v>44637</v>
      </c>
      <c r="G2" s="19" cm="1">
        <f t="array" ref="G2">get_finish_date(F2,I2,I2)</f>
        <v>44639</v>
      </c>
      <c r="H2" s="11">
        <v>44637</v>
      </c>
      <c r="I2" s="12">
        <v>2</v>
      </c>
      <c r="J2" s="8">
        <v>0</v>
      </c>
      <c r="K2" s="8">
        <v>0</v>
      </c>
      <c r="L2" s="8">
        <v>1</v>
      </c>
      <c r="M2" s="8"/>
    </row>
    <row r="3" spans="1:13" ht="20" customHeight="1" x14ac:dyDescent="0.35">
      <c r="A3" s="13" t="s">
        <v>8</v>
      </c>
      <c r="B3" s="13" t="s">
        <v>35</v>
      </c>
      <c r="C3" s="13" t="s">
        <v>49</v>
      </c>
      <c r="D3" s="13" t="s">
        <v>50</v>
      </c>
      <c r="E3" s="14">
        <v>0</v>
      </c>
      <c r="F3" s="20">
        <f t="shared" ref="F3:F17" si="0">H3</f>
        <v>44636</v>
      </c>
      <c r="G3" s="21" cm="1">
        <f t="array" ref="G3">get_finish_date(F3,I3,I3)</f>
        <v>44639</v>
      </c>
      <c r="H3" s="15">
        <v>44636</v>
      </c>
      <c r="I3" s="16">
        <v>3</v>
      </c>
      <c r="J3" s="13">
        <v>1</v>
      </c>
      <c r="K3" s="13">
        <v>1</v>
      </c>
      <c r="L3" s="13">
        <v>1</v>
      </c>
      <c r="M3" s="8"/>
    </row>
    <row r="4" spans="1:13" ht="20" customHeight="1" x14ac:dyDescent="0.35">
      <c r="A4" s="8" t="s">
        <v>8</v>
      </c>
      <c r="B4" s="8" t="s">
        <v>36</v>
      </c>
      <c r="C4" s="8" t="s">
        <v>49</v>
      </c>
      <c r="D4" s="8" t="s">
        <v>50</v>
      </c>
      <c r="E4" s="10">
        <v>0</v>
      </c>
      <c r="F4" s="18">
        <f t="shared" si="0"/>
        <v>44630</v>
      </c>
      <c r="G4" s="19" cm="1">
        <f t="array" ref="G4">get_finish_date(F4,I4,I4)</f>
        <v>44635</v>
      </c>
      <c r="H4" s="11">
        <v>44630</v>
      </c>
      <c r="I4" s="12">
        <v>3</v>
      </c>
      <c r="J4" s="8">
        <v>0</v>
      </c>
      <c r="K4" s="8">
        <v>1</v>
      </c>
      <c r="L4" s="8">
        <v>0</v>
      </c>
      <c r="M4" s="8"/>
    </row>
    <row r="5" spans="1:13" ht="20" customHeight="1" x14ac:dyDescent="0.35">
      <c r="A5" s="13" t="s">
        <v>8</v>
      </c>
      <c r="B5" s="13" t="s">
        <v>37</v>
      </c>
      <c r="C5" s="13" t="s">
        <v>49</v>
      </c>
      <c r="D5" s="13" t="s">
        <v>50</v>
      </c>
      <c r="E5" s="14">
        <v>0</v>
      </c>
      <c r="F5" s="20">
        <f t="shared" si="0"/>
        <v>44629</v>
      </c>
      <c r="G5" s="21" cm="1">
        <f t="array" ref="G5">get_finish_date(F5,I5,I5)</f>
        <v>44635</v>
      </c>
      <c r="H5" s="15">
        <v>44629</v>
      </c>
      <c r="I5" s="16">
        <v>4</v>
      </c>
      <c r="J5" s="13">
        <v>1</v>
      </c>
      <c r="K5" s="13">
        <v>0</v>
      </c>
      <c r="L5" s="13">
        <v>0</v>
      </c>
      <c r="M5" s="8"/>
    </row>
    <row r="6" spans="1:13" ht="20" customHeight="1" x14ac:dyDescent="0.35">
      <c r="A6" s="8" t="s">
        <v>8</v>
      </c>
      <c r="B6" s="8" t="s">
        <v>38</v>
      </c>
      <c r="C6" s="8" t="s">
        <v>49</v>
      </c>
      <c r="D6" s="8" t="s">
        <v>50</v>
      </c>
      <c r="E6" s="10">
        <v>0</v>
      </c>
      <c r="F6" s="18">
        <f t="shared" si="0"/>
        <v>44624</v>
      </c>
      <c r="G6" s="19" cm="1">
        <f t="array" ref="G6">get_finish_date(F6,I6,I6)</f>
        <v>44637</v>
      </c>
      <c r="H6" s="11">
        <v>44624</v>
      </c>
      <c r="I6" s="12">
        <v>9</v>
      </c>
      <c r="J6" s="8">
        <v>1</v>
      </c>
      <c r="K6" s="8">
        <v>0</v>
      </c>
      <c r="L6" s="8">
        <v>0</v>
      </c>
      <c r="M6" s="8"/>
    </row>
    <row r="7" spans="1:13" ht="20" customHeight="1" x14ac:dyDescent="0.35">
      <c r="A7" s="13" t="s">
        <v>8</v>
      </c>
      <c r="B7" s="13" t="s">
        <v>39</v>
      </c>
      <c r="C7" s="13" t="s">
        <v>49</v>
      </c>
      <c r="D7" s="13" t="s">
        <v>50</v>
      </c>
      <c r="E7" s="14">
        <v>1</v>
      </c>
      <c r="F7" s="20">
        <f t="shared" si="0"/>
        <v>44620</v>
      </c>
      <c r="G7" s="21" cm="1">
        <f t="array" ref="G7">get_finish_date(F7,I7,I7)</f>
        <v>44622</v>
      </c>
      <c r="H7" s="15">
        <v>44620</v>
      </c>
      <c r="I7" s="16">
        <v>2</v>
      </c>
      <c r="J7" s="13">
        <v>0</v>
      </c>
      <c r="K7" s="13">
        <v>1</v>
      </c>
      <c r="L7" s="13">
        <v>0</v>
      </c>
      <c r="M7" s="8"/>
    </row>
    <row r="8" spans="1:13" ht="20" customHeight="1" x14ac:dyDescent="0.35">
      <c r="A8" s="8" t="s">
        <v>8</v>
      </c>
      <c r="B8" s="8" t="s">
        <v>40</v>
      </c>
      <c r="C8" s="8" t="s">
        <v>49</v>
      </c>
      <c r="D8" s="8" t="s">
        <v>50</v>
      </c>
      <c r="E8" s="10">
        <v>0.4</v>
      </c>
      <c r="F8" s="18">
        <f t="shared" si="0"/>
        <v>44620</v>
      </c>
      <c r="G8" s="19" cm="1">
        <f t="array" ref="G8">get_finish_date(F8,I8,I8)</f>
        <v>44625</v>
      </c>
      <c r="H8" s="11">
        <v>44620</v>
      </c>
      <c r="I8" s="12">
        <v>5</v>
      </c>
      <c r="J8" s="8">
        <v>1</v>
      </c>
      <c r="K8" s="8">
        <v>0</v>
      </c>
      <c r="L8" s="8">
        <v>1</v>
      </c>
      <c r="M8" s="8"/>
    </row>
    <row r="9" spans="1:13" ht="20" customHeight="1" x14ac:dyDescent="0.35">
      <c r="A9" s="13" t="s">
        <v>8</v>
      </c>
      <c r="B9" s="13" t="s">
        <v>41</v>
      </c>
      <c r="C9" s="13" t="s">
        <v>49</v>
      </c>
      <c r="D9" s="13" t="s">
        <v>50</v>
      </c>
      <c r="E9" s="14">
        <v>0.7</v>
      </c>
      <c r="F9" s="20">
        <f t="shared" si="0"/>
        <v>44617</v>
      </c>
      <c r="G9" s="21" cm="1">
        <f t="array" ref="G9">get_finish_date(F9,I9,I9)</f>
        <v>44623</v>
      </c>
      <c r="H9" s="15">
        <v>44617</v>
      </c>
      <c r="I9" s="16">
        <v>4</v>
      </c>
      <c r="J9" s="13">
        <v>0</v>
      </c>
      <c r="K9" s="13">
        <v>0</v>
      </c>
      <c r="L9" s="13">
        <v>0</v>
      </c>
      <c r="M9" s="8"/>
    </row>
    <row r="10" spans="1:13" ht="20" customHeight="1" x14ac:dyDescent="0.35">
      <c r="A10" s="8" t="s">
        <v>8</v>
      </c>
      <c r="B10" s="8" t="s">
        <v>42</v>
      </c>
      <c r="C10" s="8" t="s">
        <v>49</v>
      </c>
      <c r="D10" s="8" t="s">
        <v>50</v>
      </c>
      <c r="E10" s="10">
        <v>1</v>
      </c>
      <c r="F10" s="18">
        <f t="shared" si="0"/>
        <v>44617</v>
      </c>
      <c r="G10" s="19" cm="1">
        <f t="array" ref="G10">get_finish_date(F10,I10,I10)</f>
        <v>44621</v>
      </c>
      <c r="H10" s="11">
        <v>44617</v>
      </c>
      <c r="I10" s="12">
        <v>2</v>
      </c>
      <c r="J10" s="8">
        <v>0</v>
      </c>
      <c r="K10" s="8">
        <v>1</v>
      </c>
      <c r="L10" s="8">
        <v>1</v>
      </c>
      <c r="M10" s="8"/>
    </row>
    <row r="11" spans="1:13" ht="20" customHeight="1" x14ac:dyDescent="0.35">
      <c r="A11" s="13" t="s">
        <v>8</v>
      </c>
      <c r="B11" s="13" t="s">
        <v>43</v>
      </c>
      <c r="C11" s="13" t="s">
        <v>49</v>
      </c>
      <c r="D11" s="13" t="s">
        <v>50</v>
      </c>
      <c r="E11" s="14">
        <v>0.2</v>
      </c>
      <c r="F11" s="20">
        <f t="shared" si="0"/>
        <v>44614</v>
      </c>
      <c r="G11" s="21" cm="1">
        <f t="array" ref="G11">get_finish_date(F11,I11,I11)</f>
        <v>44629</v>
      </c>
      <c r="H11" s="15">
        <v>44614</v>
      </c>
      <c r="I11" s="16">
        <v>11</v>
      </c>
      <c r="J11" s="13">
        <v>1</v>
      </c>
      <c r="K11" s="13">
        <v>1</v>
      </c>
      <c r="L11" s="13">
        <v>0</v>
      </c>
      <c r="M11" s="8"/>
    </row>
    <row r="12" spans="1:13" ht="20" customHeight="1" x14ac:dyDescent="0.35">
      <c r="A12" s="8" t="s">
        <v>8</v>
      </c>
      <c r="B12" s="8" t="s">
        <v>44</v>
      </c>
      <c r="C12" s="8" t="s">
        <v>49</v>
      </c>
      <c r="D12" s="8" t="s">
        <v>50</v>
      </c>
      <c r="E12" s="10">
        <v>1</v>
      </c>
      <c r="F12" s="18">
        <f t="shared" si="0"/>
        <v>44614</v>
      </c>
      <c r="G12" s="19" cm="1">
        <f t="array" ref="G12">get_finish_date(F12,I12,I12)</f>
        <v>44621</v>
      </c>
      <c r="H12" s="11">
        <v>44614</v>
      </c>
      <c r="I12" s="12">
        <v>5</v>
      </c>
      <c r="J12" s="8">
        <v>1</v>
      </c>
      <c r="K12" s="8">
        <v>1</v>
      </c>
      <c r="L12" s="8">
        <v>0</v>
      </c>
      <c r="M12" s="8"/>
    </row>
    <row r="13" spans="1:13" ht="20" customHeight="1" x14ac:dyDescent="0.35">
      <c r="A13" s="13" t="s">
        <v>8</v>
      </c>
      <c r="B13" s="13" t="s">
        <v>45</v>
      </c>
      <c r="C13" s="13" t="s">
        <v>49</v>
      </c>
      <c r="D13" s="13" t="s">
        <v>50</v>
      </c>
      <c r="E13" s="14">
        <v>0.6</v>
      </c>
      <c r="F13" s="20">
        <f t="shared" si="0"/>
        <v>44613</v>
      </c>
      <c r="G13" s="21" cm="1">
        <f t="array" ref="G13">get_finish_date(F13,I13,I13)</f>
        <v>44623</v>
      </c>
      <c r="H13" s="15">
        <v>44613</v>
      </c>
      <c r="I13" s="16">
        <v>8</v>
      </c>
      <c r="J13" s="13">
        <v>1</v>
      </c>
      <c r="K13" s="13">
        <v>1</v>
      </c>
      <c r="L13" s="13">
        <v>0</v>
      </c>
      <c r="M13" s="8"/>
    </row>
    <row r="14" spans="1:13" ht="20" customHeight="1" x14ac:dyDescent="0.35">
      <c r="A14" s="8" t="s">
        <v>8</v>
      </c>
      <c r="B14" s="8" t="s">
        <v>46</v>
      </c>
      <c r="C14" s="8" t="s">
        <v>49</v>
      </c>
      <c r="D14" s="8" t="s">
        <v>50</v>
      </c>
      <c r="E14" s="10">
        <v>1</v>
      </c>
      <c r="F14" s="18">
        <f t="shared" si="0"/>
        <v>44610</v>
      </c>
      <c r="G14" s="19" cm="1">
        <f t="array" ref="G14">get_finish_date(F14,I14,I14)</f>
        <v>44615</v>
      </c>
      <c r="H14" s="11">
        <v>44610</v>
      </c>
      <c r="I14" s="12">
        <v>3</v>
      </c>
      <c r="J14" s="8">
        <v>0</v>
      </c>
      <c r="K14" s="8">
        <v>0</v>
      </c>
      <c r="L14" s="8">
        <v>1</v>
      </c>
      <c r="M14" s="8"/>
    </row>
    <row r="15" spans="1:13" ht="20" customHeight="1" x14ac:dyDescent="0.35">
      <c r="A15" s="13" t="s">
        <v>8</v>
      </c>
      <c r="B15" s="13" t="s">
        <v>6</v>
      </c>
      <c r="C15" s="13" t="s">
        <v>49</v>
      </c>
      <c r="D15" s="13" t="s">
        <v>50</v>
      </c>
      <c r="E15" s="14">
        <v>1</v>
      </c>
      <c r="F15" s="20">
        <f t="shared" si="0"/>
        <v>44607</v>
      </c>
      <c r="G15" s="21" cm="1">
        <f t="array" ref="G15">get_finish_date(F15,I15,I15)</f>
        <v>44611</v>
      </c>
      <c r="H15" s="15">
        <v>44607</v>
      </c>
      <c r="I15" s="16">
        <v>4</v>
      </c>
      <c r="J15" s="13">
        <v>1</v>
      </c>
      <c r="K15" s="13">
        <v>0</v>
      </c>
      <c r="L15" s="13">
        <v>1</v>
      </c>
      <c r="M15" s="8"/>
    </row>
    <row r="16" spans="1:13" ht="20" customHeight="1" x14ac:dyDescent="0.35">
      <c r="A16" s="8" t="s">
        <v>54</v>
      </c>
      <c r="B16" s="8" t="s">
        <v>47</v>
      </c>
      <c r="C16" s="8" t="s">
        <v>49</v>
      </c>
      <c r="D16" s="8" t="s">
        <v>50</v>
      </c>
      <c r="E16" s="10">
        <v>0</v>
      </c>
      <c r="F16" s="18">
        <f t="shared" si="0"/>
        <v>44629</v>
      </c>
      <c r="G16" s="19" cm="1">
        <f t="array" ref="G16">get_finish_date(F16,I16,I16)</f>
        <v>44629</v>
      </c>
      <c r="H16" s="11">
        <v>44629</v>
      </c>
      <c r="I16" s="12">
        <v>0</v>
      </c>
      <c r="J16" s="8">
        <v>1</v>
      </c>
      <c r="K16" s="8">
        <v>1</v>
      </c>
      <c r="L16" s="8">
        <v>0</v>
      </c>
      <c r="M16" s="8"/>
    </row>
    <row r="17" spans="1:13" ht="20" customHeight="1" x14ac:dyDescent="0.35">
      <c r="A17" s="13" t="s">
        <v>55</v>
      </c>
      <c r="B17" s="13" t="s">
        <v>48</v>
      </c>
      <c r="C17" s="13" t="s">
        <v>49</v>
      </c>
      <c r="D17" s="13" t="s">
        <v>50</v>
      </c>
      <c r="E17" s="14">
        <v>0</v>
      </c>
      <c r="F17" s="20">
        <f t="shared" si="0"/>
        <v>44628</v>
      </c>
      <c r="G17" s="21" cm="1">
        <f t="array" ref="G17">get_finish_date(F17,I17,I17)</f>
        <v>44628</v>
      </c>
      <c r="H17" s="15">
        <v>44628</v>
      </c>
      <c r="I17" s="16">
        <v>0</v>
      </c>
      <c r="J17" s="13">
        <v>0</v>
      </c>
      <c r="K17" s="13">
        <v>1</v>
      </c>
      <c r="L17" s="13">
        <v>0</v>
      </c>
      <c r="M17" s="8"/>
    </row>
  </sheetData>
  <phoneticPr fontId="5" type="noConversion"/>
  <dataValidations count="3">
    <dataValidation type="decimal" allowBlank="1" showInputMessage="1" showErrorMessage="1" prompt="Actual project completion (%)" sqref="E2:E17" xr:uid="{085CE6DB-2CB7-428B-9B26-21DBD24B960C}">
      <formula1>0</formula1>
      <formula2>1</formula2>
    </dataValidation>
    <dataValidation type="whole" allowBlank="1" showInputMessage="1" showErrorMessage="1" prompt="Number of working days" sqref="I2:I17" xr:uid="{033E5306-C9B7-4C64-8CC7-AE3941FD029D}">
      <formula1>0</formula1>
      <formula2>1000</formula2>
    </dataValidation>
    <dataValidation type="date" allowBlank="1" showInputMessage="1" showErrorMessage="1" sqref="H2:H17 F2:G17" xr:uid="{0420F134-2358-4B01-AC32-5BA0091DF343}">
      <formula1>44562</formula1>
      <formula2>219148</formula2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2D108-E9B5-4AFD-B456-C610414D07DC}">
  <sheetPr codeName="Sheet2"/>
  <dimension ref="A1:B23"/>
  <sheetViews>
    <sheetView showGridLines="0" workbookViewId="0">
      <selection activeCell="A26" sqref="A26"/>
    </sheetView>
  </sheetViews>
  <sheetFormatPr defaultRowHeight="14" x14ac:dyDescent="0.3"/>
  <cols>
    <col min="1" max="1" width="27.54296875" style="1" bestFit="1" customWidth="1"/>
    <col min="2" max="16384" width="8.7265625" style="1"/>
  </cols>
  <sheetData>
    <row r="1" spans="1:2" ht="20" customHeight="1" x14ac:dyDescent="0.3">
      <c r="A1" s="7" t="s">
        <v>9</v>
      </c>
      <c r="B1" s="7" t="s">
        <v>10</v>
      </c>
    </row>
    <row r="2" spans="1:2" ht="20" customHeight="1" x14ac:dyDescent="0.3">
      <c r="A2" s="2" t="s">
        <v>11</v>
      </c>
      <c r="B2" s="3">
        <v>44562</v>
      </c>
    </row>
    <row r="3" spans="1:2" ht="20" customHeight="1" x14ac:dyDescent="0.3">
      <c r="A3" s="2" t="s">
        <v>12</v>
      </c>
      <c r="B3" s="4">
        <v>44564</v>
      </c>
    </row>
    <row r="4" spans="1:2" ht="20" customHeight="1" x14ac:dyDescent="0.3">
      <c r="A4" s="2" t="s">
        <v>13</v>
      </c>
      <c r="B4" s="3">
        <v>44608</v>
      </c>
    </row>
    <row r="5" spans="1:2" ht="20" customHeight="1" x14ac:dyDescent="0.3">
      <c r="A5" s="2" t="s">
        <v>14</v>
      </c>
      <c r="B5" s="4">
        <v>44657</v>
      </c>
    </row>
    <row r="6" spans="1:2" ht="20" customHeight="1" x14ac:dyDescent="0.3">
      <c r="A6" s="2" t="s">
        <v>15</v>
      </c>
      <c r="B6" s="3">
        <v>44664</v>
      </c>
    </row>
    <row r="7" spans="1:2" ht="20" customHeight="1" x14ac:dyDescent="0.3">
      <c r="A7" s="5" t="s">
        <v>16</v>
      </c>
      <c r="B7" s="4">
        <v>44665</v>
      </c>
    </row>
    <row r="8" spans="1:2" ht="20" customHeight="1" x14ac:dyDescent="0.3">
      <c r="A8" s="6" t="s">
        <v>16</v>
      </c>
      <c r="B8" s="3">
        <v>44666</v>
      </c>
    </row>
    <row r="9" spans="1:2" ht="20" customHeight="1" x14ac:dyDescent="0.3">
      <c r="A9" s="2" t="s">
        <v>17</v>
      </c>
      <c r="B9" s="4">
        <v>44685</v>
      </c>
    </row>
    <row r="10" spans="1:2" ht="20" customHeight="1" x14ac:dyDescent="0.3">
      <c r="A10" s="2" t="s">
        <v>18</v>
      </c>
      <c r="B10" s="3">
        <v>44694</v>
      </c>
    </row>
    <row r="11" spans="1:2" ht="20" customHeight="1" x14ac:dyDescent="0.3">
      <c r="A11" s="2" t="s">
        <v>19</v>
      </c>
      <c r="B11" s="4">
        <v>44697</v>
      </c>
    </row>
    <row r="12" spans="1:2" ht="20" customHeight="1" x14ac:dyDescent="0.3">
      <c r="A12" s="2" t="s">
        <v>20</v>
      </c>
      <c r="B12" s="3">
        <v>44715</v>
      </c>
    </row>
    <row r="13" spans="1:2" ht="20" customHeight="1" x14ac:dyDescent="0.3">
      <c r="A13" s="2" t="s">
        <v>21</v>
      </c>
      <c r="B13" s="4">
        <v>44755</v>
      </c>
    </row>
    <row r="14" spans="1:2" ht="20" customHeight="1" x14ac:dyDescent="0.3">
      <c r="A14" s="2" t="s">
        <v>22</v>
      </c>
      <c r="B14" s="3">
        <v>44756</v>
      </c>
    </row>
    <row r="15" spans="1:2" ht="20" customHeight="1" x14ac:dyDescent="0.3">
      <c r="A15" s="2" t="s">
        <v>23</v>
      </c>
      <c r="B15" s="4">
        <v>44770</v>
      </c>
    </row>
    <row r="16" spans="1:2" ht="20" customHeight="1" x14ac:dyDescent="0.3">
      <c r="A16" s="2" t="s">
        <v>24</v>
      </c>
      <c r="B16" s="3">
        <v>44785</v>
      </c>
    </row>
    <row r="17" spans="1:2" ht="20" customHeight="1" x14ac:dyDescent="0.3">
      <c r="A17" s="2" t="s">
        <v>31</v>
      </c>
      <c r="B17" s="4">
        <v>44847</v>
      </c>
    </row>
    <row r="18" spans="1:2" ht="20" customHeight="1" x14ac:dyDescent="0.3">
      <c r="A18" s="2" t="s">
        <v>25</v>
      </c>
      <c r="B18" s="3">
        <v>44857</v>
      </c>
    </row>
    <row r="19" spans="1:2" ht="20" customHeight="1" x14ac:dyDescent="0.3">
      <c r="A19" s="2" t="s">
        <v>26</v>
      </c>
      <c r="B19" s="4">
        <v>44858</v>
      </c>
    </row>
    <row r="20" spans="1:2" ht="20" customHeight="1" x14ac:dyDescent="0.3">
      <c r="A20" s="2" t="s">
        <v>27</v>
      </c>
      <c r="B20" s="3">
        <v>44900</v>
      </c>
    </row>
    <row r="21" spans="1:2" ht="20" customHeight="1" x14ac:dyDescent="0.3">
      <c r="A21" s="2" t="s">
        <v>28</v>
      </c>
      <c r="B21" s="4">
        <v>44905</v>
      </c>
    </row>
    <row r="22" spans="1:2" ht="20" customHeight="1" x14ac:dyDescent="0.3">
      <c r="A22" s="2" t="s">
        <v>29</v>
      </c>
      <c r="B22" s="3">
        <v>44846</v>
      </c>
    </row>
    <row r="23" spans="1:2" ht="20" customHeight="1" x14ac:dyDescent="0.3">
      <c r="A23" s="5" t="s">
        <v>30</v>
      </c>
      <c r="B23" s="4">
        <v>44926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Schedule</vt:lpstr>
      <vt:lpstr>PublicHolidays</vt:lpstr>
      <vt:lpstr>holidays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Micky</dc:creator>
  <cp:lastModifiedBy>Micky</cp:lastModifiedBy>
  <dcterms:created xsi:type="dcterms:W3CDTF">2022-04-21T09:10:47Z</dcterms:created>
  <dcterms:modified xsi:type="dcterms:W3CDTF">2022-04-24T00:53:00Z</dcterms:modified>
</cp:coreProperties>
</file>